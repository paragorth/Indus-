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Data" state="visible" r:id="rId4"/>
    <sheet sheetId="2" name="Results" state="visible" r:id="rId5"/>
    <sheet sheetId="3" name="How to use" state="visible" r:id="rId6"/>
  </sheets>
  <calcPr calcId="171027"/>
</workbook>
</file>

<file path=xl/comments1.xml><?xml version="1.0" encoding="utf-8"?>
<comments xmlns="http://schemas.openxmlformats.org/spreadsheetml/2006/main">
  <authors>
    <author>Author</author>
  </authors>
  <commentList>
    <comment ref="A4" authorId="0">
      <text>
        <r>
          <t xml:space="preserve">Field: cycle
Type: Cycle 1 / Re-audit
Leave blank for Cycle 1. Choose Re-audit for cases in the second cycle.</t>
        </r>
      </text>
    </comment>
    <comment ref="B4" authorId="0">
      <text>
        <r>
          <t xml:space="preserve">Field: hospital_number_pseudonymised
Type: text
Local audit code only; key kept on a Trust drive</t>
        </r>
      </text>
    </comment>
    <comment ref="C4" authorId="0">
      <text>
        <r>
          <t xml:space="preserve">Field: arrival_datetime
Type: datetime</t>
        </r>
      </text>
    </comment>
    <comment ref="D4" authorId="0">
      <text>
        <r>
          <t xml:space="preserve">Field: first_ed_news2_datetime
Type: datetime</t>
        </r>
      </text>
    </comment>
    <comment ref="E4" authorId="0">
      <text>
        <r>
          <t xml:space="preserve">Field: first_ed_news2_score
Type: number</t>
        </r>
      </text>
    </comment>
    <comment ref="F4" authorId="0">
      <text>
        <r>
          <t xml:space="preserve">Field: prehospital_antibiotic_given
Type: yes/no</t>
        </r>
      </text>
    </comment>
    <comment ref="G4" authorId="0">
      <text>
        <r>
          <t xml:space="preserve">Field: antibiotic_administered_datetime
Type: datetime
Time given, not time prescribed</t>
        </r>
      </text>
    </comment>
    <comment ref="H4" authorId="0">
      <text>
        <r>
          <t xml:space="preserve">Field: minutes_news2_to_antibiotic
Type: number</t>
        </r>
      </text>
    </comment>
    <comment ref="I4" authorId="0">
      <text>
        <r>
          <t xml:space="preserve">Field: antibiotic_within_60_min
Type: yes/no
Pass criterion</t>
        </r>
      </text>
    </comment>
    <comment ref="J4" authorId="0">
      <text>
        <r>
          <t xml:space="preserve">Field: reason_for_delay
Type: choice
Options: no delay | not recognised as sepsis | no IV access | prescribing delay | awaiting senior review | other</t>
        </r>
      </text>
    </comment>
  </commentList>
</comments>
</file>

<file path=xl/sharedStrings.xml><?xml version="1.0" encoding="utf-8"?>
<sst xmlns="http://schemas.openxmlformats.org/spreadsheetml/2006/main" count="283" uniqueCount="119">
  <si>
    <t>What proportion of adults at high risk from sepsis (NEWS2 7 or more with suspected infection) receive IV antibiotics within 1 hour of their first ED NEWS2 score?</t>
  </si>
  <si>
    <t>Standard: Give people aged 16 or over who are at high risk of severe illness or death from sepsis broad-spectrum intravenous antibiotic treatment, within 1 hour of calculating the person's NEWS2 score on initial assessment in the emergency department or on ward deterioration. Only give antibiotics if they have not been given before for this episode of sepsis (see recommendations 1.7.7 and 1.7.8 on managing the condition while awaiting transfer).  —  NICE NG253 rec 1.8.3 (November 2025, updated September 2026)</t>
  </si>
  <si>
    <t>Pass: First IV antibiotic dose recorded as given on the drug chart within 60 minutes of the first ED NEWS2 time; or pre-hospital antibiotics already given for this episode.   |   Target: ≥90%</t>
  </si>
  <si>
    <t>Cycle</t>
  </si>
  <si>
    <t>Hospital number pseudonymised</t>
  </si>
  <si>
    <t>Arrival datetime</t>
  </si>
  <si>
    <t>First ed news2 datetime</t>
  </si>
  <si>
    <t>First ed news2 score</t>
  </si>
  <si>
    <t>Prehospital antibiotic given</t>
  </si>
  <si>
    <t>Antibiotic administered datetime</t>
  </si>
  <si>
    <t>Minutes news2 to antibiotic</t>
  </si>
  <si>
    <t>Antibiotic within 60 min</t>
  </si>
  <si>
    <t>Reason for delay</t>
  </si>
  <si>
    <t>Cycle 1</t>
  </si>
  <si>
    <t>RVG4982585</t>
  </si>
  <si>
    <t>No</t>
  </si>
  <si>
    <t>Yes</t>
  </si>
  <si>
    <t>no delay</t>
  </si>
  <si>
    <t>RVG4766824</t>
  </si>
  <si>
    <t>not recognised as sepsis</t>
  </si>
  <si>
    <t>RVG4825624</t>
  </si>
  <si>
    <t>no IV access</t>
  </si>
  <si>
    <t>RVG4218956</t>
  </si>
  <si>
    <t>RVG4406753</t>
  </si>
  <si>
    <t>RVG4598572</t>
  </si>
  <si>
    <t>RVG4109323</t>
  </si>
  <si>
    <t>RVG4437354</t>
  </si>
  <si>
    <t>RVG4492901</t>
  </si>
  <si>
    <t>RVG4323419</t>
  </si>
  <si>
    <t>RVG4157789</t>
  </si>
  <si>
    <t>RVG4725891</t>
  </si>
  <si>
    <t>RVG4260382</t>
  </si>
  <si>
    <t>awaiting senior review</t>
  </si>
  <si>
    <t>RVG4507546</t>
  </si>
  <si>
    <t>RVG4986765</t>
  </si>
  <si>
    <t>RVG4499155</t>
  </si>
  <si>
    <t>RVG4037425</t>
  </si>
  <si>
    <t>RVG4012171</t>
  </si>
  <si>
    <t>RVG4516347</t>
  </si>
  <si>
    <t>prescribing delay</t>
  </si>
  <si>
    <t>RVG4778639</t>
  </si>
  <si>
    <t>RVG4127672</t>
  </si>
  <si>
    <t>RVG4168981</t>
  </si>
  <si>
    <t>RVG4579999</t>
  </si>
  <si>
    <t>RVG4087732</t>
  </si>
  <si>
    <t>RVG4020237</t>
  </si>
  <si>
    <t>RVG4408765</t>
  </si>
  <si>
    <t>RVG4617307</t>
  </si>
  <si>
    <t>RVG4098503</t>
  </si>
  <si>
    <t>RVG4207543</t>
  </si>
  <si>
    <t>RVG4247387</t>
  </si>
  <si>
    <t>RVG4582031</t>
  </si>
  <si>
    <t>RVG4106709</t>
  </si>
  <si>
    <t>RVG4148293</t>
  </si>
  <si>
    <t>RVG4949907</t>
  </si>
  <si>
    <t>RVG4359701</t>
  </si>
  <si>
    <t>RVG4548471</t>
  </si>
  <si>
    <t>RVG4664253</t>
  </si>
  <si>
    <t>RVG4846175</t>
  </si>
  <si>
    <t>RVG4458473</t>
  </si>
  <si>
    <t>RVG4169072</t>
  </si>
  <si>
    <t>Results · NNA-074</t>
  </si>
  <si>
    <t>What proportion of adults at high risk from sepsis (NEWS2 7 or more with suspected infection) receive IV antibiotics within 1 hour of their first ED NEWS2 score?  (Updates automatically from the Data sheet.)</t>
  </si>
  <si>
    <t>Measure</t>
  </si>
  <si>
    <t>Re-audit</t>
  </si>
  <si>
    <t xml:space="preserve">Pass field: Antibiotic within 60 min (Yes = met the standard)
Pass definition: First IV antibiotic dose recorded as given on the drug chart within 60 minutes of the first ED NEWS2 time; or pre-hospital antibiotics already given for this episode.
Target: ≥90%
N/A rows are left out of % met. Rows with a blank Cycle count as Cycle 1.</t>
  </si>
  <si>
    <t>Records entered</t>
  </si>
  <si>
    <t>Met the standard (Yes)</t>
  </si>
  <si>
    <t>Did not meet (No)</t>
  </si>
  <si>
    <t>Not applicable (N/A)</t>
  </si>
  <si>
    <t>% met  (Yes ÷ (Yes + No))</t>
  </si>
  <si>
    <t>Target</t>
  </si>
  <si>
    <t>Target met?</t>
  </si>
  <si>
    <t>Change, Re-audit minus Cycle 1 (percentage points)</t>
  </si>
  <si>
    <t>Results code — copy this one line into Ai4Qi (My audits › Paste results) to make your dashboard and presentation. It contains totals only, no patient data.</t>
  </si>
  <si>
    <t>Have Copilot in Excel? Try this prompt: “Summarise this audit’s results for a governance meeting in three sentences, using only the Results sheet.”</t>
  </si>
  <si>
    <t>other</t>
  </si>
  <si>
    <t>How to use this audit template</t>
  </si>
  <si>
    <t>Audit ID</t>
  </si>
  <si>
    <t>NNA-074</t>
  </si>
  <si>
    <t>Audit question</t>
  </si>
  <si>
    <t>Clinical area</t>
  </si>
  <si>
    <t>Emergency medicine</t>
  </si>
  <si>
    <t>Standard</t>
  </si>
  <si>
    <t>Give people aged 16 or over who are at high risk of severe illness or death from sepsis broad-spectrum intravenous antibiotic treatment, within 1 hour of calculating the person's NEWS2 score on initial assessment in the emergency department or on ward deterioration. Only give antibiotics if they have not been given before for this episode of sepsis (see recommendations 1.7.7 and 1.7.8 on managing the condition while awaiting transfer).</t>
  </si>
  <si>
    <t>Standard source</t>
  </si>
  <si>
    <t>NICE NG253 rec 1.8.3 (November 2025, updated September 2026)</t>
  </si>
  <si>
    <t>Standard URL</t>
  </si>
  <si>
    <t>https://www.nice.org.uk/guidance/ng253/chapter/Managing-suspected-sepsis</t>
  </si>
  <si>
    <t>Pass definition</t>
  </si>
  <si>
    <t>First IV antibiotic dose recorded as given on the drug chart within 60 minutes of the first ED NEWS2 time; or pre-hospital antibiotics already given for this episode.</t>
  </si>
  <si>
    <t>Population</t>
  </si>
  <si>
    <t>Adults 16 or over with suspected or confirmed infection and a first ED NEWS2 of 7 or more. Exclude end-of-life care plans and patients who left before treatment.</t>
  </si>
  <si>
    <t>Sample</t>
  </si>
  <si>
    <t>40 consecutive eligible ED attendances over the last 2 months.</t>
  </si>
  <si>
    <t>Data source</t>
  </si>
  <si>
    <t>ED system or e-observations for first NEWS2 time; EPMA or drug chart for antibiotic administration time; ambulance record for pre-hospital antibiotics.</t>
  </si>
  <si>
    <t>Timeline</t>
  </si>
  <si>
    <t>Wk 1–2 collect; Wk 3 analyse/present; Wk 4 change; Wk 5–12 embed; Wk 13–14 re-audit</t>
  </si>
  <si>
    <t>≥90%</t>
  </si>
  <si>
    <t>Weeks 13–14: next 40 consecutive eligible attendances, same template.</t>
  </si>
  <si>
    <t>Steps</t>
  </si>
  <si>
    <t>1.</t>
  </si>
  <si>
    <t>Enter one row per case on the "Data" sheet, starting under the blue header row.</t>
  </si>
  <si>
    <t>2.</t>
  </si>
  <si>
    <t>Set the "Cycle" column to Re-audit for second-cycle cases; leave it blank (or Cycle 1) for the first audit.</t>
  </si>
  <si>
    <t>3.</t>
  </si>
  <si>
    <t>The "Results" sheet updates as you type. Copy its one-line Results code into Ai4Qi (My audits › Paste results).</t>
  </si>
  <si>
    <t>4.</t>
  </si>
  <si>
    <t>Use the drop-down lists where offered; dates as dd/mm/yyyy (and times as hh:mm).</t>
  </si>
  <si>
    <t>5.</t>
  </si>
  <si>
    <t>Hover over a header to see the field name and any collection notes.</t>
  </si>
  <si>
    <t>6.</t>
  </si>
  <si>
    <t>Record excluded cases separately; do not add them to the pass rate.</t>
  </si>
  <si>
    <t>7.</t>
  </si>
  <si>
    <t>Or upload the rows into Ai4Qi to calculate results.</t>
  </si>
  <si>
    <t>Data protection</t>
  </si>
  <si>
    <t>Do not enter names, NHS or hospital numbers, dates of birth, addresses or any free text that could identify a patient. Use a local audit code (e.g. P001) and keep the key on a secure Trust drive.</t>
  </si>
  <si>
    <t>Template generated by Ai4Qi on 28 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</si>
</sst>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hh:mm"/>
    <numFmt numFmtId="165" formatCode="0.##"/>
    <numFmt numFmtId="166" formatCode="+0.0;-0.0;0.0"/>
  </numFmts>
  <fonts count="19" x14ac:knownFonts="1">
    <font>
      <color theme="1"/>
      <family val="2"/>
      <scheme val="minor"/>
      <sz val="11"/>
      <name val="Calibri"/>
    </font>
    <font>
      <b/>
      <color rgb="FF0E1626"/>
      <sz val="14"/>
      <name val="Calibri"/>
    </font>
    <font>
      <i/>
      <color rgb="FF586174"/>
      <sz val="10"/>
      <name val="Calibri"/>
    </font>
    <font>
      <b/>
      <color rgb="FF0B6A4A"/>
      <sz val="10"/>
      <name val="Calibri"/>
    </font>
    <font>
      <b/>
      <color rgb="FFFFFFFF"/>
      <sz val="11"/>
      <name val="Calibri"/>
    </font>
    <font>
      <color rgb="FF0E1626"/>
      <sz val="11"/>
      <name val="Calibri"/>
    </font>
    <font>
      <b/>
      <color rgb="FFFFFFFF"/>
      <sz val="16"/>
      <name val="Calibri"/>
    </font>
    <font>
      <color rgb="FF586174"/>
      <sz val="10"/>
      <name val="Calibri"/>
    </font>
    <font>
      <b/>
      <color rgb="FF0E1626"/>
      <sz val="11"/>
      <name val="Calibri"/>
    </font>
    <font>
      <b/>
      <color rgb="FF3346D3"/>
      <sz val="26"/>
      <name val="Calibri"/>
    </font>
    <font>
      <b/>
      <color rgb="FF0E1626"/>
      <sz val="12"/>
      <name val="Calibri"/>
    </font>
    <font>
      <b/>
      <color rgb="FF0E1626"/>
      <sz val="16"/>
      <name val="Calibri"/>
    </font>
    <font>
      <color rgb="FF0E1626"/>
      <sz val="10"/>
      <name val="Consolas"/>
    </font>
    <font>
      <b/>
      <color rgb="FF3346D3"/>
      <sz val="11"/>
      <name val="Calibri"/>
    </font>
    <font>
      <u/>
      <color rgb="FF3346D3"/>
      <sz val="11"/>
      <name val="Calibri"/>
    </font>
    <font>
      <color rgb="FF586174"/>
      <sz val="11"/>
      <name val="Calibri"/>
    </font>
    <font>
      <b/>
      <color rgb="FF0E1626"/>
      <sz val="13"/>
      <name val="Calibri"/>
    </font>
    <font>
      <color rgb="FF0E1626"/>
      <sz val="12"/>
      <name val="Calibri"/>
    </font>
    <font>
      <i/>
      <color rgb="FF586174"/>
      <sz val="9"/>
      <name val="Calibri"/>
    </font>
  </fonts>
  <fills count="6">
    <fill>
      <patternFill patternType="none"/>
    </fill>
    <fill>
      <patternFill patternType="gray125"/>
    </fill>
    <fill>
      <patternFill patternType="solid">
        <fgColor rgb="FFECEEFC"/>
      </patternFill>
    </fill>
    <fill>
      <patternFill patternType="solid">
        <fgColor rgb="FF3346D3"/>
      </patternFill>
    </fill>
    <fill>
      <patternFill patternType="solid">
        <fgColor rgb="FFF7F8FD"/>
      </patternFill>
    </fill>
    <fill>
      <patternFill patternType="solid">
        <fgColor rgb="FFFDF5E1"/>
      </patternFill>
    </fill>
  </fills>
  <borders count="7">
    <border>
      <left/>
      <right/>
      <top/>
      <bottom/>
      <diagonal/>
    </border>
    <border>
      <left style="thin">
        <color rgb="FFE0E3EB"/>
      </left>
      <right style="thin">
        <color rgb="FFE0E3EB"/>
      </right>
      <top style="thin">
        <color rgb="FFE0E3EB"/>
      </top>
      <bottom style="medium">
        <color rgb="FF0E1626"/>
      </bottom>
      <diagonal/>
    </border>
    <border>
      <left style="thin">
        <color rgb="FFE0E3EB"/>
      </left>
      <right style="thin">
        <color rgb="FFE0E3EB"/>
      </right>
      <top style="thin">
        <color rgb="FFE0E3EB"/>
      </top>
      <bottom style="thin">
        <color rgb="FFE0E3EB"/>
      </bottom>
      <diagonal/>
    </border>
    <border>
      <left/>
      <right style="medium">
        <color rgb="FF3346D3"/>
      </right>
      <top style="medium">
        <color rgb="FF3346D3"/>
      </top>
      <bottom style="medium">
        <color rgb="FF3346D3"/>
      </bottom>
      <diagonal/>
    </border>
    <border>
      <left/>
      <right/>
      <top/>
      <bottom style="thin">
        <color rgb="FFE0E3EB"/>
      </bottom>
      <diagonal/>
    </border>
    <border>
      <left/>
      <right style="medium">
        <color rgb="FFE0A91A"/>
      </right>
      <top style="medium">
        <color rgb="FFE0A91A"/>
      </top>
      <bottom/>
      <diagonal/>
    </border>
    <border>
      <left/>
      <right style="medium">
        <color rgb="FFE0A91A"/>
      </right>
      <top/>
      <bottom style="medium">
        <color rgb="FFE0A91A"/>
      </bottom>
      <diagonal/>
    </border>
  </borders>
  <cellStyleXfs count="1">
    <xf numFmtId="0" fontId="0" fillId="0" borderId="0"/>
  </cellStyleXfs>
  <cellXfs count="37">
    <xf numFmtId="0" fontId="0" fillId="0" borderId="0" xfId="0"/>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0" fontId="4" fillId="3" borderId="1" xfId="0" applyFont="1" applyFill="1" applyBorder="1" applyAlignment="1">
      <alignment horizontal="left" vertical="center" wrapText="1" indent="1"/>
    </xf>
    <xf numFmtId="0" fontId="5" fillId="0" borderId="2" xfId="0" applyFont="1" applyBorder="1" applyAlignment="1">
      <alignment horizontal="center" vertical="center"/>
    </xf>
    <xf numFmtId="0" fontId="5" fillId="0" borderId="2" xfId="0" applyFont="1" applyBorder="1" applyAlignment="1">
      <alignment horizontal="left" vertical="center"/>
    </xf>
    <xf numFmtId="164" fontId="5" fillId="0" borderId="2" xfId="0" applyNumberFormat="1" applyFont="1" applyBorder="1" applyAlignment="1">
      <alignment horizontal="center" vertical="center"/>
    </xf>
    <xf numFmtId="165" fontId="5" fillId="0" borderId="2" xfId="0" applyNumberFormat="1" applyFont="1" applyBorder="1" applyAlignment="1">
      <alignment horizontal="right" vertical="center"/>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xf>
    <xf numFmtId="164" fontId="5" fillId="4" borderId="2" xfId="0" applyNumberFormat="1" applyFont="1" applyFill="1" applyBorder="1" applyAlignment="1">
      <alignment horizontal="center" vertical="center"/>
    </xf>
    <xf numFmtId="165" fontId="5" fillId="4" borderId="2" xfId="0" applyNumberFormat="1" applyFont="1" applyFill="1" applyBorder="1" applyAlignment="1">
      <alignment horizontal="right" vertical="center"/>
    </xf>
    <xf numFmtId="0" fontId="6" fillId="3" borderId="0" xfId="0" applyFont="1" applyFill="1" applyAlignment="1">
      <alignment vertical="center" indent="1"/>
    </xf>
    <xf numFmtId="0" fontId="2" fillId="0" borderId="0" xfId="0" applyFont="1" applyAlignment="1">
      <alignment vertical="top" wrapText="1" indent="1"/>
    </xf>
    <xf numFmtId="0" fontId="4" fillId="3" borderId="2" xfId="0" applyFont="1" applyFill="1" applyBorder="1" applyAlignment="1">
      <alignment horizontal="left" vertical="center" indent="1"/>
    </xf>
    <xf numFmtId="0" fontId="4" fillId="3" borderId="2" xfId="0" applyFont="1" applyFill="1" applyBorder="1" applyAlignment="1">
      <alignment horizontal="center" vertical="center"/>
    </xf>
    <xf numFmtId="0" fontId="7" fillId="2" borderId="0" xfId="0" applyFont="1" applyFill="1" applyAlignment="1">
      <alignment vertical="top" wrapText="1"/>
    </xf>
    <xf numFmtId="0" fontId="5" fillId="0" borderId="2" xfId="0" applyFont="1" applyBorder="1" applyAlignment="1">
      <alignment vertical="center" wrapText="1" indent="1"/>
    </xf>
    <xf numFmtId="1" fontId="5" fillId="0" borderId="2" xfId="0" applyNumberFormat="1" applyFont="1" applyBorder="1" applyAlignment="1">
      <alignment horizontal="center" vertical="center"/>
    </xf>
    <xf numFmtId="0" fontId="8" fillId="0" borderId="2" xfId="0" applyFont="1" applyBorder="1" applyAlignment="1">
      <alignment vertical="center" wrapText="1" indent="1"/>
    </xf>
    <xf numFmtId="9" fontId="9"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166" fontId="11" fillId="0" borderId="2" xfId="0" applyNumberFormat="1" applyFont="1" applyBorder="1" applyAlignment="1">
      <alignment horizontal="center" vertical="center"/>
    </xf>
    <xf numFmtId="0" fontId="8" fillId="0" borderId="0" xfId="0" applyFont="1" applyAlignment="1">
      <alignment vertical="bottom" wrapText="1"/>
    </xf>
    <xf numFmtId="0" fontId="12" fillId="2" borderId="3" xfId="0" applyFont="1" applyFill="1" applyBorder="1" applyAlignment="1">
      <alignment vertical="center" wrapText="1" indent="1"/>
    </xf>
    <xf numFmtId="0" fontId="7" fillId="0" borderId="0" xfId="0" applyFont="1" applyAlignment="1">
      <alignment vertical="top" wrapText="1"/>
    </xf>
    <xf numFmtId="0" fontId="13" fillId="0" borderId="4" xfId="0" applyFont="1" applyBorder="1" applyAlignment="1">
      <alignment vertical="top" wrapText="1"/>
    </xf>
    <xf numFmtId="0" fontId="5" fillId="0" borderId="4" xfId="0" applyFont="1" applyBorder="1" applyAlignment="1">
      <alignment vertical="top" wrapText="1"/>
    </xf>
    <xf numFmtId="0" fontId="14" fillId="0" borderId="4" xfId="0" applyFont="1" applyBorder="1" applyAlignment="1">
      <alignment vertical="top" wrapText="1"/>
    </xf>
    <xf numFmtId="0" fontId="13" fillId="0" borderId="0" xfId="0" applyFont="1"/>
    <xf numFmtId="0" fontId="15" fillId="0" borderId="0" xfId="0" applyFont="1" applyAlignment="1">
      <alignment horizontal="right" vertical="top"/>
    </xf>
    <xf numFmtId="0" fontId="5" fillId="0" borderId="0" xfId="0" applyFont="1" applyAlignment="1">
      <alignment vertical="top" wrapText="1"/>
    </xf>
    <xf numFmtId="0" fontId="16" fillId="5" borderId="5" xfId="0" applyFont="1" applyFill="1" applyBorder="1" applyAlignment="1">
      <alignment vertical="center" indent="1"/>
    </xf>
    <xf numFmtId="0" fontId="17" fillId="5" borderId="6" xfId="0" applyFont="1" applyFill="1" applyBorder="1" applyAlignment="1">
      <alignment vertical="top" wrapText="1" indent="1"/>
    </xf>
    <xf numFmtId="0" fontId="18" fillId="0" borderId="0" xfId="0" applyFont="1"/>
  </cellXfs>
  <cellStyles count="1">
    <cellStyle name="Normal" xfId="0" builtinId="0"/>
  </cellStyles>
  <dxfs count="3">
    <dxf>
      <font>
        <b/>
        <color rgb="FF0B6A4A"/>
      </font>
      <fill>
        <patternFill patternType="solid">
          <bgColor rgb="FF7CF2C0"/>
        </patternFill>
      </fill>
    </dxf>
    <dxf>
      <font>
        <b/>
        <color rgb="FF7A5A00"/>
      </font>
      <fill>
        <patternFill patternType="solid">
          <bgColor rgb="FFFDF5E1"/>
        </patternFill>
      </fill>
    </dxf>
    <dxf>
      <font>
        <b/>
        <color rgb="FF0B6A4A"/>
      </font>
      <fill>
        <patternFill patternType="solid">
          <bgColor rgb="FF7CF2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ice.org.uk/guidance/ng253/chapter/Managing-suspected-sep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4"/>
  <sheetViews>
    <sheetView workbookViewId="0" showGridLines="0" zoomScale="100" zoomScaleNormal="100">
      <pane ySplit="4" topLeftCell="A5" activePane="bottomLeft" state="frozen"/>
      <selection pane="bottomLeft" activeCell="A5" sqref="A5"/>
    </sheetView>
  </sheetViews>
  <sheetFormatPr defaultRowHeight="18" outlineLevelRow="0" outlineLevelCol="0" x14ac:dyDescent="55" customHeight="1"/>
  <cols>
    <col min="1" max="1" width="13" customWidth="1"/>
    <col min="2" max="2" width="33" customWidth="1"/>
    <col min="3" max="3" width="20" customWidth="1"/>
    <col min="4" max="4" width="27" customWidth="1"/>
    <col min="5" max="5" width="24" customWidth="1"/>
    <col min="6" max="6" width="32" customWidth="1"/>
    <col min="7" max="7" width="34" customWidth="1"/>
    <col min="8" max="8" width="31" customWidth="1"/>
    <col min="9" max="10" width="28" customWidth="1"/>
  </cols>
  <sheetData>
    <row r="1" ht="26.900000000000002" customHeight="1" spans="1:10" x14ac:dyDescent="0.25">
      <c r="A1" s="1" t="s">
        <v>0</v>
      </c>
      <c r="B1" s="1"/>
      <c r="C1" s="1"/>
      <c r="D1" s="1"/>
      <c r="E1" s="1"/>
      <c r="F1" s="1"/>
      <c r="G1" s="1"/>
      <c r="H1" s="1"/>
      <c r="I1" s="1"/>
      <c r="J1" s="1"/>
    </row>
    <row r="2" ht="35" customHeight="1" spans="1:10" x14ac:dyDescent="0.25">
      <c r="A2" s="2" t="s">
        <v>1</v>
      </c>
      <c r="B2" s="2"/>
      <c r="C2" s="2"/>
      <c r="D2" s="2"/>
      <c r="E2" s="2"/>
      <c r="F2" s="2"/>
      <c r="G2" s="2"/>
      <c r="H2" s="2"/>
      <c r="I2" s="2"/>
      <c r="J2" s="2"/>
    </row>
    <row r="3" ht="21.5" customHeight="1" spans="1:10" x14ac:dyDescent="0.25">
      <c r="A3" s="3" t="s">
        <v>2</v>
      </c>
      <c r="B3" s="3"/>
      <c r="C3" s="3"/>
      <c r="D3" s="3"/>
      <c r="E3" s="3"/>
      <c r="F3" s="3"/>
      <c r="G3" s="3"/>
      <c r="H3" s="3"/>
      <c r="I3" s="3"/>
      <c r="J3" s="3"/>
    </row>
    <row r="4" ht="32" customHeight="1" spans="1:10" x14ac:dyDescent="0.25">
      <c r="A4" s="4" t="s">
        <v>3</v>
      </c>
      <c r="B4" s="4" t="s">
        <v>4</v>
      </c>
      <c r="C4" s="4" t="s">
        <v>5</v>
      </c>
      <c r="D4" s="4" t="s">
        <v>6</v>
      </c>
      <c r="E4" s="4" t="s">
        <v>7</v>
      </c>
      <c r="F4" s="4" t="s">
        <v>8</v>
      </c>
      <c r="G4" s="4" t="s">
        <v>9</v>
      </c>
      <c r="H4" s="4" t="s">
        <v>10</v>
      </c>
      <c r="I4" s="4" t="s">
        <v>11</v>
      </c>
      <c r="J4" s="4" t="s">
        <v>12</v>
      </c>
    </row>
    <row r="5" ht="18" customHeight="1" spans="1:10" x14ac:dyDescent="0.25">
      <c r="A5" s="5" t="s">
        <v>13</v>
      </c>
      <c r="B5" s="6" t="s">
        <v>14</v>
      </c>
      <c r="C5" s="7">
        <v>46113.48125</v>
      </c>
      <c r="D5" s="7">
        <v>46113.50069444445</v>
      </c>
      <c r="E5" s="8">
        <v>7</v>
      </c>
      <c r="F5" s="5" t="s">
        <v>15</v>
      </c>
      <c r="G5" s="7">
        <v>46113.525</v>
      </c>
      <c r="H5" s="8">
        <v>35</v>
      </c>
      <c r="I5" s="5" t="s">
        <v>16</v>
      </c>
      <c r="J5" s="6" t="s">
        <v>17</v>
      </c>
    </row>
    <row r="6" ht="18" customHeight="1" spans="1:10" x14ac:dyDescent="0.25">
      <c r="A6" s="9" t="s">
        <v>13</v>
      </c>
      <c r="B6" s="10" t="s">
        <v>18</v>
      </c>
      <c r="C6" s="11">
        <v>46114.61041666666</v>
      </c>
      <c r="D6" s="11">
        <v>46114.61666666667</v>
      </c>
      <c r="E6" s="12">
        <v>10</v>
      </c>
      <c r="F6" s="9" t="s">
        <v>15</v>
      </c>
      <c r="G6" s="11">
        <v>46114.711111111115</v>
      </c>
      <c r="H6" s="12">
        <v>136</v>
      </c>
      <c r="I6" s="9" t="s">
        <v>15</v>
      </c>
      <c r="J6" s="10" t="s">
        <v>19</v>
      </c>
    </row>
    <row r="7" ht="18" customHeight="1" spans="1:10" x14ac:dyDescent="0.25">
      <c r="A7" s="5" t="s">
        <v>13</v>
      </c>
      <c r="B7" s="6" t="s">
        <v>20</v>
      </c>
      <c r="C7" s="7">
        <v>46116.07847222222</v>
      </c>
      <c r="D7" s="7">
        <v>46116.089583333334</v>
      </c>
      <c r="E7" s="8">
        <v>11</v>
      </c>
      <c r="F7" s="5" t="s">
        <v>15</v>
      </c>
      <c r="G7" s="7">
        <v>46116.17013888889</v>
      </c>
      <c r="H7" s="8">
        <v>116</v>
      </c>
      <c r="I7" s="5" t="s">
        <v>15</v>
      </c>
      <c r="J7" s="6" t="s">
        <v>21</v>
      </c>
    </row>
    <row r="8" ht="18" customHeight="1" spans="1:10" x14ac:dyDescent="0.25">
      <c r="A8" s="9" t="s">
        <v>13</v>
      </c>
      <c r="B8" s="10" t="s">
        <v>22</v>
      </c>
      <c r="C8" s="11">
        <v>46117.16180555556</v>
      </c>
      <c r="D8" s="11">
        <v>46117.17083333334</v>
      </c>
      <c r="E8" s="12">
        <v>7</v>
      </c>
      <c r="F8" s="9" t="s">
        <v>15</v>
      </c>
      <c r="G8" s="11">
        <v>46117.18541666667</v>
      </c>
      <c r="H8" s="12">
        <v>21</v>
      </c>
      <c r="I8" s="9" t="s">
        <v>16</v>
      </c>
      <c r="J8" s="10" t="s">
        <v>17</v>
      </c>
    </row>
    <row r="9" ht="18" customHeight="1" spans="1:10" x14ac:dyDescent="0.25">
      <c r="A9" s="5" t="s">
        <v>13</v>
      </c>
      <c r="B9" s="6" t="s">
        <v>23</v>
      </c>
      <c r="C9" s="7">
        <v>46119.78125</v>
      </c>
      <c r="D9" s="7">
        <v>46119.794444444444</v>
      </c>
      <c r="E9" s="8">
        <v>11</v>
      </c>
      <c r="F9" s="5" t="s">
        <v>15</v>
      </c>
      <c r="G9" s="7">
        <v>46119.80694444444</v>
      </c>
      <c r="H9" s="8">
        <v>18</v>
      </c>
      <c r="I9" s="5" t="s">
        <v>16</v>
      </c>
      <c r="J9" s="6" t="s">
        <v>17</v>
      </c>
    </row>
    <row r="10" ht="18" customHeight="1" spans="1:10" x14ac:dyDescent="0.25">
      <c r="A10" s="9" t="s">
        <v>13</v>
      </c>
      <c r="B10" s="10" t="s">
        <v>24</v>
      </c>
      <c r="C10" s="11">
        <v>46120.42361111111</v>
      </c>
      <c r="D10" s="11">
        <v>46120.430555555555</v>
      </c>
      <c r="E10" s="12">
        <v>10</v>
      </c>
      <c r="F10" s="9" t="s">
        <v>15</v>
      </c>
      <c r="G10" s="11">
        <v>46120.447222222225</v>
      </c>
      <c r="H10" s="12">
        <v>24</v>
      </c>
      <c r="I10" s="9" t="s">
        <v>16</v>
      </c>
      <c r="J10" s="10" t="s">
        <v>17</v>
      </c>
    </row>
    <row r="11" ht="18" customHeight="1" spans="1:10" x14ac:dyDescent="0.25">
      <c r="A11" s="5" t="s">
        <v>13</v>
      </c>
      <c r="B11" s="6" t="s">
        <v>25</v>
      </c>
      <c r="C11" s="7">
        <v>46122.31875</v>
      </c>
      <c r="D11" s="7">
        <v>46122.32430555555</v>
      </c>
      <c r="E11" s="8">
        <v>12</v>
      </c>
      <c r="F11" s="5" t="s">
        <v>15</v>
      </c>
      <c r="G11" s="7">
        <v>46122.43958333333</v>
      </c>
      <c r="H11" s="8">
        <v>166</v>
      </c>
      <c r="I11" s="5" t="s">
        <v>15</v>
      </c>
      <c r="J11" s="6" t="s">
        <v>19</v>
      </c>
    </row>
    <row r="12" ht="18" customHeight="1" spans="1:10" x14ac:dyDescent="0.25">
      <c r="A12" s="9" t="s">
        <v>13</v>
      </c>
      <c r="B12" s="10" t="s">
        <v>26</v>
      </c>
      <c r="C12" s="11">
        <v>46123.13541666667</v>
      </c>
      <c r="D12" s="11">
        <v>46123.14027777778</v>
      </c>
      <c r="E12" s="12">
        <v>11</v>
      </c>
      <c r="F12" s="9" t="s">
        <v>15</v>
      </c>
      <c r="G12" s="11">
        <v>46123.24166666667</v>
      </c>
      <c r="H12" s="12">
        <v>146</v>
      </c>
      <c r="I12" s="9" t="s">
        <v>15</v>
      </c>
      <c r="J12" s="10" t="s">
        <v>19</v>
      </c>
    </row>
    <row r="13" ht="18" customHeight="1" spans="1:10" x14ac:dyDescent="0.25">
      <c r="A13" s="5" t="s">
        <v>13</v>
      </c>
      <c r="B13" s="6" t="s">
        <v>27</v>
      </c>
      <c r="C13" s="7">
        <v>46125.00208333333</v>
      </c>
      <c r="D13" s="7">
        <v>46125.00555555556</v>
      </c>
      <c r="E13" s="8">
        <v>7</v>
      </c>
      <c r="F13" s="5" t="s">
        <v>15</v>
      </c>
      <c r="G13" s="7">
        <v>46125.02083333333</v>
      </c>
      <c r="H13" s="8">
        <v>22</v>
      </c>
      <c r="I13" s="5" t="s">
        <v>16</v>
      </c>
      <c r="J13" s="6" t="s">
        <v>17</v>
      </c>
    </row>
    <row r="14" ht="18" customHeight="1" spans="1:10" x14ac:dyDescent="0.25">
      <c r="A14" s="9" t="s">
        <v>13</v>
      </c>
      <c r="B14" s="10" t="s">
        <v>28</v>
      </c>
      <c r="C14" s="11">
        <v>46126.97083333333</v>
      </c>
      <c r="D14" s="11">
        <v>46126.976388888885</v>
      </c>
      <c r="E14" s="12">
        <v>9</v>
      </c>
      <c r="F14" s="9" t="s">
        <v>15</v>
      </c>
      <c r="G14" s="11">
        <v>46127.038194444445</v>
      </c>
      <c r="H14" s="12">
        <v>89</v>
      </c>
      <c r="I14" s="9" t="s">
        <v>15</v>
      </c>
      <c r="J14" s="10" t="s">
        <v>19</v>
      </c>
    </row>
    <row r="15" ht="18" customHeight="1" spans="1:10" x14ac:dyDescent="0.25">
      <c r="A15" s="5" t="s">
        <v>13</v>
      </c>
      <c r="B15" s="6" t="s">
        <v>29</v>
      </c>
      <c r="C15" s="7">
        <v>46128.54027777778</v>
      </c>
      <c r="D15" s="7">
        <v>46128.555555555555</v>
      </c>
      <c r="E15" s="8">
        <v>8</v>
      </c>
      <c r="F15" s="5" t="s">
        <v>15</v>
      </c>
      <c r="G15" s="7">
        <v>46128.584027777775</v>
      </c>
      <c r="H15" s="8">
        <v>41</v>
      </c>
      <c r="I15" s="5" t="s">
        <v>16</v>
      </c>
      <c r="J15" s="6" t="s">
        <v>17</v>
      </c>
    </row>
    <row r="16" ht="18" customHeight="1" spans="1:10" x14ac:dyDescent="0.25">
      <c r="A16" s="9" t="s">
        <v>13</v>
      </c>
      <c r="B16" s="10" t="s">
        <v>30</v>
      </c>
      <c r="C16" s="11">
        <v>46129.82291666667</v>
      </c>
      <c r="D16" s="11">
        <v>46129.83472222222</v>
      </c>
      <c r="E16" s="12">
        <v>11</v>
      </c>
      <c r="F16" s="9" t="s">
        <v>15</v>
      </c>
      <c r="G16" s="11">
        <v>46129.84930555556</v>
      </c>
      <c r="H16" s="12">
        <v>21</v>
      </c>
      <c r="I16" s="9" t="s">
        <v>16</v>
      </c>
      <c r="J16" s="10" t="s">
        <v>17</v>
      </c>
    </row>
    <row r="17" ht="18" customHeight="1" spans="1:10" x14ac:dyDescent="0.25">
      <c r="A17" s="5" t="s">
        <v>13</v>
      </c>
      <c r="B17" s="6" t="s">
        <v>31</v>
      </c>
      <c r="C17" s="7">
        <v>46131.04583333334</v>
      </c>
      <c r="D17" s="7">
        <v>46131.05416666667</v>
      </c>
      <c r="E17" s="8">
        <v>10</v>
      </c>
      <c r="F17" s="5" t="s">
        <v>15</v>
      </c>
      <c r="G17" s="7">
        <v>46131.11666666667</v>
      </c>
      <c r="H17" s="8">
        <v>90</v>
      </c>
      <c r="I17" s="5" t="s">
        <v>15</v>
      </c>
      <c r="J17" s="6" t="s">
        <v>32</v>
      </c>
    </row>
    <row r="18" ht="18" customHeight="1" spans="1:10" x14ac:dyDescent="0.25">
      <c r="A18" s="9" t="s">
        <v>13</v>
      </c>
      <c r="B18" s="10" t="s">
        <v>33</v>
      </c>
      <c r="C18" s="11">
        <v>46132.57708333334</v>
      </c>
      <c r="D18" s="11">
        <v>46132.589583333334</v>
      </c>
      <c r="E18" s="12">
        <v>7</v>
      </c>
      <c r="F18" s="9" t="s">
        <v>15</v>
      </c>
      <c r="G18" s="11">
        <v>46132.62569444445</v>
      </c>
      <c r="H18" s="12">
        <v>52</v>
      </c>
      <c r="I18" s="9" t="s">
        <v>16</v>
      </c>
      <c r="J18" s="10" t="s">
        <v>17</v>
      </c>
    </row>
    <row r="19" ht="18" customHeight="1" spans="1:10" x14ac:dyDescent="0.25">
      <c r="A19" s="5" t="s">
        <v>13</v>
      </c>
      <c r="B19" s="6" t="s">
        <v>34</v>
      </c>
      <c r="C19" s="7">
        <v>46134.64583333333</v>
      </c>
      <c r="D19" s="7">
        <v>46134.65833333333</v>
      </c>
      <c r="E19" s="8">
        <v>10</v>
      </c>
      <c r="F19" s="5" t="s">
        <v>15</v>
      </c>
      <c r="G19" s="7">
        <v>46134.76736111111</v>
      </c>
      <c r="H19" s="8">
        <v>157</v>
      </c>
      <c r="I19" s="5" t="s">
        <v>15</v>
      </c>
      <c r="J19" s="6" t="s">
        <v>19</v>
      </c>
    </row>
    <row r="20" ht="18" customHeight="1" spans="1:10" x14ac:dyDescent="0.25">
      <c r="A20" s="9" t="s">
        <v>13</v>
      </c>
      <c r="B20" s="10" t="s">
        <v>35</v>
      </c>
      <c r="C20" s="11">
        <v>46135.70277777778</v>
      </c>
      <c r="D20" s="11">
        <v>46135.711805555555</v>
      </c>
      <c r="E20" s="12">
        <v>12</v>
      </c>
      <c r="F20" s="9" t="s">
        <v>15</v>
      </c>
      <c r="G20" s="11">
        <v>46135.74930555555</v>
      </c>
      <c r="H20" s="12">
        <v>54</v>
      </c>
      <c r="I20" s="9" t="s">
        <v>16</v>
      </c>
      <c r="J20" s="10" t="s">
        <v>17</v>
      </c>
    </row>
    <row r="21" ht="18" customHeight="1" spans="1:10" x14ac:dyDescent="0.25">
      <c r="A21" s="5" t="s">
        <v>13</v>
      </c>
      <c r="B21" s="6" t="s">
        <v>36</v>
      </c>
      <c r="C21" s="7">
        <v>46137.99722222222</v>
      </c>
      <c r="D21" s="7">
        <v>46138.01527777778</v>
      </c>
      <c r="E21" s="8">
        <v>11</v>
      </c>
      <c r="F21" s="5" t="s">
        <v>15</v>
      </c>
      <c r="G21" s="7">
        <v>46138.04236111111</v>
      </c>
      <c r="H21" s="8">
        <v>39</v>
      </c>
      <c r="I21" s="5" t="s">
        <v>16</v>
      </c>
      <c r="J21" s="6" t="s">
        <v>17</v>
      </c>
    </row>
    <row r="22" ht="18" customHeight="1" spans="1:10" x14ac:dyDescent="0.25">
      <c r="A22" s="9" t="s">
        <v>13</v>
      </c>
      <c r="B22" s="10" t="s">
        <v>37</v>
      </c>
      <c r="C22" s="11">
        <v>46138.066666666666</v>
      </c>
      <c r="D22" s="11">
        <v>46138.070138888885</v>
      </c>
      <c r="E22" s="12">
        <v>12</v>
      </c>
      <c r="F22" s="9" t="s">
        <v>15</v>
      </c>
      <c r="G22" s="11">
        <v>46138.19375</v>
      </c>
      <c r="H22" s="12">
        <v>178</v>
      </c>
      <c r="I22" s="9" t="s">
        <v>15</v>
      </c>
      <c r="J22" s="10" t="s">
        <v>19</v>
      </c>
    </row>
    <row r="23" ht="18" customHeight="1" spans="1:10" x14ac:dyDescent="0.25">
      <c r="A23" s="5" t="s">
        <v>13</v>
      </c>
      <c r="B23" s="6" t="s">
        <v>38</v>
      </c>
      <c r="C23" s="7">
        <v>46140.83472222222</v>
      </c>
      <c r="D23" s="7">
        <v>46140.84513888889</v>
      </c>
      <c r="E23" s="8">
        <v>7</v>
      </c>
      <c r="F23" s="5" t="s">
        <v>15</v>
      </c>
      <c r="G23" s="7">
        <v>46140.89791666667</v>
      </c>
      <c r="H23" s="8">
        <v>76</v>
      </c>
      <c r="I23" s="5" t="s">
        <v>15</v>
      </c>
      <c r="J23" s="6" t="s">
        <v>39</v>
      </c>
    </row>
    <row r="24" ht="18" customHeight="1" spans="1:10" x14ac:dyDescent="0.25">
      <c r="A24" s="9" t="s">
        <v>13</v>
      </c>
      <c r="B24" s="10" t="s">
        <v>40</v>
      </c>
      <c r="C24" s="11">
        <v>46141.34166666667</v>
      </c>
      <c r="D24" s="11">
        <v>46141.35208333333</v>
      </c>
      <c r="E24" s="12">
        <v>12</v>
      </c>
      <c r="F24" s="9" t="s">
        <v>15</v>
      </c>
      <c r="G24" s="11">
        <v>46141.461111111115</v>
      </c>
      <c r="H24" s="12">
        <v>157</v>
      </c>
      <c r="I24" s="9" t="s">
        <v>15</v>
      </c>
      <c r="J24" s="10" t="s">
        <v>39</v>
      </c>
    </row>
    <row r="25" ht="18" customHeight="1" spans="1:10" x14ac:dyDescent="0.25">
      <c r="A25" s="5" t="s">
        <v>13</v>
      </c>
      <c r="B25" s="6" t="s">
        <v>41</v>
      </c>
      <c r="C25" s="7">
        <v>46143.367361111115</v>
      </c>
      <c r="D25" s="7">
        <v>46143.37986111111</v>
      </c>
      <c r="E25" s="8">
        <v>10</v>
      </c>
      <c r="F25" s="5" t="s">
        <v>15</v>
      </c>
      <c r="G25" s="7">
        <v>46143.40625</v>
      </c>
      <c r="H25" s="8">
        <v>38</v>
      </c>
      <c r="I25" s="5" t="s">
        <v>16</v>
      </c>
      <c r="J25" s="6" t="s">
        <v>17</v>
      </c>
    </row>
    <row r="26" ht="18" customHeight="1" spans="1:10" x14ac:dyDescent="0.25">
      <c r="A26" s="9" t="s">
        <v>13</v>
      </c>
      <c r="B26" s="10" t="s">
        <v>42</v>
      </c>
      <c r="C26" s="11">
        <v>46144.50347222222</v>
      </c>
      <c r="D26" s="11">
        <v>46144.51111111111</v>
      </c>
      <c r="E26" s="12">
        <v>8</v>
      </c>
      <c r="F26" s="9" t="s">
        <v>15</v>
      </c>
      <c r="G26" s="11">
        <v>46144.523611111115</v>
      </c>
      <c r="H26" s="12">
        <v>18</v>
      </c>
      <c r="I26" s="9" t="s">
        <v>16</v>
      </c>
      <c r="J26" s="10" t="s">
        <v>17</v>
      </c>
    </row>
    <row r="27" ht="18" customHeight="1" spans="1:10" x14ac:dyDescent="0.25">
      <c r="A27" s="5" t="s">
        <v>13</v>
      </c>
      <c r="B27" s="6" t="s">
        <v>43</v>
      </c>
      <c r="C27" s="7">
        <v>46146.31319444445</v>
      </c>
      <c r="D27" s="7">
        <v>46146.33333333333</v>
      </c>
      <c r="E27" s="8">
        <v>12</v>
      </c>
      <c r="F27" s="5" t="s">
        <v>15</v>
      </c>
      <c r="G27" s="7">
        <v>46146.42152777778</v>
      </c>
      <c r="H27" s="8">
        <v>127</v>
      </c>
      <c r="I27" s="5" t="s">
        <v>15</v>
      </c>
      <c r="J27" s="6" t="s">
        <v>19</v>
      </c>
    </row>
    <row r="28" ht="18" customHeight="1" spans="1:10" x14ac:dyDescent="0.25">
      <c r="A28" s="9" t="s">
        <v>13</v>
      </c>
      <c r="B28" s="10" t="s">
        <v>44</v>
      </c>
      <c r="C28" s="11">
        <v>46147.95486111111</v>
      </c>
      <c r="D28" s="11">
        <v>46147.96805555555</v>
      </c>
      <c r="E28" s="12">
        <v>7</v>
      </c>
      <c r="F28" s="9" t="s">
        <v>15</v>
      </c>
      <c r="G28" s="11">
        <v>46148.00069444445</v>
      </c>
      <c r="H28" s="12">
        <v>47</v>
      </c>
      <c r="I28" s="9" t="s">
        <v>16</v>
      </c>
      <c r="J28" s="10" t="s">
        <v>17</v>
      </c>
    </row>
    <row r="29" ht="18" customHeight="1" spans="1:10" x14ac:dyDescent="0.25">
      <c r="A29" s="5" t="s">
        <v>13</v>
      </c>
      <c r="B29" s="6" t="s">
        <v>45</v>
      </c>
      <c r="C29" s="7">
        <v>46149.49652777778</v>
      </c>
      <c r="D29" s="7">
        <v>46149.51111111111</v>
      </c>
      <c r="E29" s="8">
        <v>8</v>
      </c>
      <c r="F29" s="5" t="s">
        <v>16</v>
      </c>
      <c r="G29" s="7"/>
      <c r="H29" s="8"/>
      <c r="I29" s="5" t="s">
        <v>16</v>
      </c>
      <c r="J29" s="6" t="s">
        <v>17</v>
      </c>
    </row>
    <row r="30" ht="18" customHeight="1" spans="1:10" x14ac:dyDescent="0.25">
      <c r="A30" s="9" t="s">
        <v>13</v>
      </c>
      <c r="B30" s="10" t="s">
        <v>46</v>
      </c>
      <c r="C30" s="11">
        <v>46150.78263888889</v>
      </c>
      <c r="D30" s="11">
        <v>46150.79861111111</v>
      </c>
      <c r="E30" s="12">
        <v>7</v>
      </c>
      <c r="F30" s="9" t="s">
        <v>15</v>
      </c>
      <c r="G30" s="11">
        <v>46150.90833333333</v>
      </c>
      <c r="H30" s="12">
        <v>158</v>
      </c>
      <c r="I30" s="9" t="s">
        <v>15</v>
      </c>
      <c r="J30" s="10" t="s">
        <v>21</v>
      </c>
    </row>
    <row r="31" ht="18" customHeight="1" spans="1:10" x14ac:dyDescent="0.25">
      <c r="A31" s="5" t="s">
        <v>13</v>
      </c>
      <c r="B31" s="6" t="s">
        <v>47</v>
      </c>
      <c r="C31" s="7">
        <v>46152.23611111111</v>
      </c>
      <c r="D31" s="7">
        <v>46152.25138888889</v>
      </c>
      <c r="E31" s="8">
        <v>8</v>
      </c>
      <c r="F31" s="5" t="s">
        <v>15</v>
      </c>
      <c r="G31" s="7">
        <v>46152.27569444444</v>
      </c>
      <c r="H31" s="8">
        <v>35</v>
      </c>
      <c r="I31" s="5" t="s">
        <v>16</v>
      </c>
      <c r="J31" s="6" t="s">
        <v>17</v>
      </c>
    </row>
    <row r="32" ht="18" customHeight="1" spans="1:10" x14ac:dyDescent="0.25">
      <c r="A32" s="9" t="s">
        <v>13</v>
      </c>
      <c r="B32" s="10" t="s">
        <v>48</v>
      </c>
      <c r="C32" s="11">
        <v>46153.25</v>
      </c>
      <c r="D32" s="11">
        <v>46153.268055555556</v>
      </c>
      <c r="E32" s="12">
        <v>9</v>
      </c>
      <c r="F32" s="9" t="s">
        <v>15</v>
      </c>
      <c r="G32" s="11">
        <v>46153.39027777778</v>
      </c>
      <c r="H32" s="12">
        <v>176</v>
      </c>
      <c r="I32" s="9" t="s">
        <v>15</v>
      </c>
      <c r="J32" s="10" t="s">
        <v>32</v>
      </c>
    </row>
    <row r="33" ht="18" customHeight="1" spans="1:10" x14ac:dyDescent="0.25">
      <c r="A33" s="5" t="s">
        <v>13</v>
      </c>
      <c r="B33" s="6" t="s">
        <v>49</v>
      </c>
      <c r="C33" s="7">
        <v>46155.365277777775</v>
      </c>
      <c r="D33" s="7">
        <v>46155.38402777778</v>
      </c>
      <c r="E33" s="8">
        <v>7</v>
      </c>
      <c r="F33" s="5" t="s">
        <v>15</v>
      </c>
      <c r="G33" s="7">
        <v>46155.399305555555</v>
      </c>
      <c r="H33" s="8">
        <v>22</v>
      </c>
      <c r="I33" s="5" t="s">
        <v>16</v>
      </c>
      <c r="J33" s="6" t="s">
        <v>17</v>
      </c>
    </row>
    <row r="34" ht="18" customHeight="1" spans="1:10" x14ac:dyDescent="0.25">
      <c r="A34" s="9" t="s">
        <v>13</v>
      </c>
      <c r="B34" s="10" t="s">
        <v>50</v>
      </c>
      <c r="C34" s="11">
        <v>46156.679861111115</v>
      </c>
      <c r="D34" s="11">
        <v>46156.691666666666</v>
      </c>
      <c r="E34" s="12">
        <v>11</v>
      </c>
      <c r="F34" s="9" t="s">
        <v>15</v>
      </c>
      <c r="G34" s="11">
        <v>46156.81736111111</v>
      </c>
      <c r="H34" s="12">
        <v>181</v>
      </c>
      <c r="I34" s="9" t="s">
        <v>15</v>
      </c>
      <c r="J34" s="10" t="s">
        <v>39</v>
      </c>
    </row>
    <row r="35" ht="18" customHeight="1" spans="1:10" x14ac:dyDescent="0.25">
      <c r="A35" s="5" t="s">
        <v>13</v>
      </c>
      <c r="B35" s="6" t="s">
        <v>51</v>
      </c>
      <c r="C35" s="7">
        <v>46158.99791666667</v>
      </c>
      <c r="D35" s="7">
        <v>46159.0125</v>
      </c>
      <c r="E35" s="8">
        <v>12</v>
      </c>
      <c r="F35" s="5" t="s">
        <v>15</v>
      </c>
      <c r="G35" s="7">
        <v>46159.04375</v>
      </c>
      <c r="H35" s="8">
        <v>45</v>
      </c>
      <c r="I35" s="5" t="s">
        <v>16</v>
      </c>
      <c r="J35" s="6" t="s">
        <v>17</v>
      </c>
    </row>
    <row r="36" ht="18" customHeight="1" spans="1:10" x14ac:dyDescent="0.25">
      <c r="A36" s="9" t="s">
        <v>13</v>
      </c>
      <c r="B36" s="10" t="s">
        <v>52</v>
      </c>
      <c r="C36" s="11">
        <v>46159.64722222222</v>
      </c>
      <c r="D36" s="11">
        <v>46159.663888888885</v>
      </c>
      <c r="E36" s="12">
        <v>8</v>
      </c>
      <c r="F36" s="9" t="s">
        <v>15</v>
      </c>
      <c r="G36" s="11">
        <v>46159.69027777778</v>
      </c>
      <c r="H36" s="12">
        <v>38</v>
      </c>
      <c r="I36" s="9" t="s">
        <v>16</v>
      </c>
      <c r="J36" s="10" t="s">
        <v>17</v>
      </c>
    </row>
    <row r="37" ht="18" customHeight="1" spans="1:10" x14ac:dyDescent="0.25">
      <c r="A37" s="5" t="s">
        <v>13</v>
      </c>
      <c r="B37" s="6" t="s">
        <v>53</v>
      </c>
      <c r="C37" s="7">
        <v>46161.99375</v>
      </c>
      <c r="D37" s="7">
        <v>46162.01388888889</v>
      </c>
      <c r="E37" s="8">
        <v>10</v>
      </c>
      <c r="F37" s="5" t="s">
        <v>15</v>
      </c>
      <c r="G37" s="7">
        <v>46162.044444444444</v>
      </c>
      <c r="H37" s="8">
        <v>44</v>
      </c>
      <c r="I37" s="5" t="s">
        <v>16</v>
      </c>
      <c r="J37" s="6" t="s">
        <v>17</v>
      </c>
    </row>
    <row r="38" ht="18" customHeight="1" spans="1:10" x14ac:dyDescent="0.25">
      <c r="A38" s="9" t="s">
        <v>13</v>
      </c>
      <c r="B38" s="10" t="s">
        <v>54</v>
      </c>
      <c r="C38" s="11">
        <v>46162.290972222225</v>
      </c>
      <c r="D38" s="11">
        <v>46162.304861111115</v>
      </c>
      <c r="E38" s="12">
        <v>10</v>
      </c>
      <c r="F38" s="9" t="s">
        <v>15</v>
      </c>
      <c r="G38" s="11">
        <v>46162.365277777775</v>
      </c>
      <c r="H38" s="12">
        <v>87</v>
      </c>
      <c r="I38" s="9" t="s">
        <v>15</v>
      </c>
      <c r="J38" s="10" t="s">
        <v>19</v>
      </c>
    </row>
    <row r="39" ht="18" customHeight="1" spans="1:10" x14ac:dyDescent="0.25">
      <c r="A39" s="5" t="s">
        <v>13</v>
      </c>
      <c r="B39" s="6" t="s">
        <v>55</v>
      </c>
      <c r="C39" s="7">
        <v>46164.19791666667</v>
      </c>
      <c r="D39" s="7">
        <v>46164.20208333334</v>
      </c>
      <c r="E39" s="8">
        <v>11</v>
      </c>
      <c r="F39" s="5" t="s">
        <v>15</v>
      </c>
      <c r="G39" s="7">
        <v>46164.21527777778</v>
      </c>
      <c r="H39" s="8">
        <v>19</v>
      </c>
      <c r="I39" s="5" t="s">
        <v>16</v>
      </c>
      <c r="J39" s="6" t="s">
        <v>17</v>
      </c>
    </row>
    <row r="40" ht="18" customHeight="1" spans="1:10" x14ac:dyDescent="0.25">
      <c r="A40" s="9" t="s">
        <v>13</v>
      </c>
      <c r="B40" s="10" t="s">
        <v>56</v>
      </c>
      <c r="C40" s="11">
        <v>46165.79652777778</v>
      </c>
      <c r="D40" s="11">
        <v>46165.80972222222</v>
      </c>
      <c r="E40" s="12">
        <v>7</v>
      </c>
      <c r="F40" s="9" t="s">
        <v>15</v>
      </c>
      <c r="G40" s="11">
        <v>46165.83888888889</v>
      </c>
      <c r="H40" s="12">
        <v>42</v>
      </c>
      <c r="I40" s="9" t="s">
        <v>16</v>
      </c>
      <c r="J40" s="10" t="s">
        <v>17</v>
      </c>
    </row>
    <row r="41" ht="18" customHeight="1" spans="1:10" x14ac:dyDescent="0.25">
      <c r="A41" s="5" t="s">
        <v>13</v>
      </c>
      <c r="B41" s="6" t="s">
        <v>57</v>
      </c>
      <c r="C41" s="7">
        <v>46167.47361111111</v>
      </c>
      <c r="D41" s="7">
        <v>46167.47916666667</v>
      </c>
      <c r="E41" s="8">
        <v>8</v>
      </c>
      <c r="F41" s="5" t="s">
        <v>16</v>
      </c>
      <c r="G41" s="7"/>
      <c r="H41" s="8"/>
      <c r="I41" s="5" t="s">
        <v>16</v>
      </c>
      <c r="J41" s="6" t="s">
        <v>17</v>
      </c>
    </row>
    <row r="42" ht="18" customHeight="1" spans="1:10" x14ac:dyDescent="0.25">
      <c r="A42" s="9" t="s">
        <v>13</v>
      </c>
      <c r="B42" s="10" t="s">
        <v>58</v>
      </c>
      <c r="C42" s="11">
        <v>46168.129166666666</v>
      </c>
      <c r="D42" s="11">
        <v>46168.14722222222</v>
      </c>
      <c r="E42" s="12">
        <v>12</v>
      </c>
      <c r="F42" s="9" t="s">
        <v>15</v>
      </c>
      <c r="G42" s="11">
        <v>46168.17361111111</v>
      </c>
      <c r="H42" s="12">
        <v>38</v>
      </c>
      <c r="I42" s="9" t="s">
        <v>16</v>
      </c>
      <c r="J42" s="10" t="s">
        <v>17</v>
      </c>
    </row>
    <row r="43" ht="18" customHeight="1" spans="1:10" x14ac:dyDescent="0.25">
      <c r="A43" s="5" t="s">
        <v>13</v>
      </c>
      <c r="B43" s="6" t="s">
        <v>59</v>
      </c>
      <c r="C43" s="7">
        <v>46170.924305555556</v>
      </c>
      <c r="D43" s="7">
        <v>46170.94375</v>
      </c>
      <c r="E43" s="8">
        <v>8</v>
      </c>
      <c r="F43" s="5" t="s">
        <v>15</v>
      </c>
      <c r="G43" s="7">
        <v>46171.00347222222</v>
      </c>
      <c r="H43" s="8">
        <v>86</v>
      </c>
      <c r="I43" s="5" t="s">
        <v>15</v>
      </c>
      <c r="J43" s="6" t="s">
        <v>21</v>
      </c>
    </row>
    <row r="44" ht="18" customHeight="1" spans="1:10" x14ac:dyDescent="0.25">
      <c r="A44" s="9" t="s">
        <v>13</v>
      </c>
      <c r="B44" s="10" t="s">
        <v>60</v>
      </c>
      <c r="C44" s="11">
        <v>46171.586805555555</v>
      </c>
      <c r="D44" s="11">
        <v>46171.59166666667</v>
      </c>
      <c r="E44" s="12">
        <v>12</v>
      </c>
      <c r="F44" s="9" t="s">
        <v>15</v>
      </c>
      <c r="G44" s="11">
        <v>46171.67291666666</v>
      </c>
      <c r="H44" s="12">
        <v>117</v>
      </c>
      <c r="I44" s="9" t="s">
        <v>15</v>
      </c>
      <c r="J44" s="10" t="s">
        <v>39</v>
      </c>
    </row>
    <row r="45" ht="18" customHeight="1" spans="1:10" x14ac:dyDescent="0.25">
      <c r="A45" s="5"/>
      <c r="B45" s="6"/>
      <c r="C45" s="7"/>
      <c r="D45" s="7"/>
      <c r="E45" s="8"/>
      <c r="F45" s="5"/>
      <c r="G45" s="7"/>
      <c r="H45" s="8"/>
      <c r="I45" s="5"/>
      <c r="J45" s="6"/>
    </row>
    <row r="46" ht="18" customHeight="1" spans="1:10" x14ac:dyDescent="0.25">
      <c r="A46" s="9"/>
      <c r="B46" s="10"/>
      <c r="C46" s="11"/>
      <c r="D46" s="11"/>
      <c r="E46" s="12"/>
      <c r="F46" s="9"/>
      <c r="G46" s="11"/>
      <c r="H46" s="12"/>
      <c r="I46" s="9"/>
      <c r="J46" s="10"/>
    </row>
    <row r="47" ht="18" customHeight="1" spans="1:10" x14ac:dyDescent="0.25">
      <c r="A47" s="5"/>
      <c r="B47" s="6"/>
      <c r="C47" s="7"/>
      <c r="D47" s="7"/>
      <c r="E47" s="8"/>
      <c r="F47" s="5"/>
      <c r="G47" s="7"/>
      <c r="H47" s="8"/>
      <c r="I47" s="5"/>
      <c r="J47" s="6"/>
    </row>
    <row r="48" ht="18" customHeight="1" spans="1:10" x14ac:dyDescent="0.25">
      <c r="A48" s="9"/>
      <c r="B48" s="10"/>
      <c r="C48" s="11"/>
      <c r="D48" s="11"/>
      <c r="E48" s="12"/>
      <c r="F48" s="9"/>
      <c r="G48" s="11"/>
      <c r="H48" s="12"/>
      <c r="I48" s="9"/>
      <c r="J48" s="10"/>
    </row>
    <row r="49" ht="18" customHeight="1" spans="1:10" x14ac:dyDescent="0.25">
      <c r="A49" s="5"/>
      <c r="B49" s="6"/>
      <c r="C49" s="7"/>
      <c r="D49" s="7"/>
      <c r="E49" s="8"/>
      <c r="F49" s="5"/>
      <c r="G49" s="7"/>
      <c r="H49" s="8"/>
      <c r="I49" s="5"/>
      <c r="J49" s="6"/>
    </row>
    <row r="50" ht="18" customHeight="1" spans="1:10" x14ac:dyDescent="0.25">
      <c r="A50" s="9"/>
      <c r="B50" s="10"/>
      <c r="C50" s="11"/>
      <c r="D50" s="11"/>
      <c r="E50" s="12"/>
      <c r="F50" s="9"/>
      <c r="G50" s="11"/>
      <c r="H50" s="12"/>
      <c r="I50" s="9"/>
      <c r="J50" s="10"/>
    </row>
    <row r="51" ht="18" customHeight="1" spans="1:10" x14ac:dyDescent="0.25">
      <c r="A51" s="5"/>
      <c r="B51" s="6"/>
      <c r="C51" s="7"/>
      <c r="D51" s="7"/>
      <c r="E51" s="8"/>
      <c r="F51" s="5"/>
      <c r="G51" s="7"/>
      <c r="H51" s="8"/>
      <c r="I51" s="5"/>
      <c r="J51" s="6"/>
    </row>
    <row r="52" ht="18" customHeight="1" spans="1:10" x14ac:dyDescent="0.25">
      <c r="A52" s="9"/>
      <c r="B52" s="10"/>
      <c r="C52" s="11"/>
      <c r="D52" s="11"/>
      <c r="E52" s="12"/>
      <c r="F52" s="9"/>
      <c r="G52" s="11"/>
      <c r="H52" s="12"/>
      <c r="I52" s="9"/>
      <c r="J52" s="10"/>
    </row>
    <row r="53" ht="18" customHeight="1" spans="1:10" x14ac:dyDescent="0.25">
      <c r="A53" s="5"/>
      <c r="B53" s="6"/>
      <c r="C53" s="7"/>
      <c r="D53" s="7"/>
      <c r="E53" s="8"/>
      <c r="F53" s="5"/>
      <c r="G53" s="7"/>
      <c r="H53" s="8"/>
      <c r="I53" s="5"/>
      <c r="J53" s="6"/>
    </row>
    <row r="54" ht="18" customHeight="1" spans="1:10" x14ac:dyDescent="0.25">
      <c r="A54" s="9"/>
      <c r="B54" s="10"/>
      <c r="C54" s="11"/>
      <c r="D54" s="11"/>
      <c r="E54" s="12"/>
      <c r="F54" s="9"/>
      <c r="G54" s="11"/>
      <c r="H54" s="12"/>
      <c r="I54" s="9"/>
      <c r="J54" s="10"/>
    </row>
    <row r="55" ht="18" customHeight="1" spans="1:10" x14ac:dyDescent="0.25">
      <c r="A55" s="5"/>
      <c r="B55" s="6"/>
      <c r="C55" s="7"/>
      <c r="D55" s="7"/>
      <c r="E55" s="8"/>
      <c r="F55" s="5"/>
      <c r="G55" s="7"/>
      <c r="H55" s="8"/>
      <c r="I55" s="5"/>
      <c r="J55" s="6"/>
    </row>
    <row r="56" ht="18" customHeight="1" spans="1:10" x14ac:dyDescent="0.25">
      <c r="A56" s="9"/>
      <c r="B56" s="10"/>
      <c r="C56" s="11"/>
      <c r="D56" s="11"/>
      <c r="E56" s="12"/>
      <c r="F56" s="9"/>
      <c r="G56" s="11"/>
      <c r="H56" s="12"/>
      <c r="I56" s="9"/>
      <c r="J56" s="10"/>
    </row>
    <row r="57" ht="18" customHeight="1" spans="1:10" x14ac:dyDescent="0.25">
      <c r="A57" s="5"/>
      <c r="B57" s="6"/>
      <c r="C57" s="7"/>
      <c r="D57" s="7"/>
      <c r="E57" s="8"/>
      <c r="F57" s="5"/>
      <c r="G57" s="7"/>
      <c r="H57" s="8"/>
      <c r="I57" s="5"/>
      <c r="J57" s="6"/>
    </row>
    <row r="58" ht="18" customHeight="1" spans="1:10" x14ac:dyDescent="0.25">
      <c r="A58" s="9"/>
      <c r="B58" s="10"/>
      <c r="C58" s="11"/>
      <c r="D58" s="11"/>
      <c r="E58" s="12"/>
      <c r="F58" s="9"/>
      <c r="G58" s="11"/>
      <c r="H58" s="12"/>
      <c r="I58" s="9"/>
      <c r="J58" s="10"/>
    </row>
    <row r="59" ht="18" customHeight="1" spans="1:10" x14ac:dyDescent="0.25">
      <c r="A59" s="5"/>
      <c r="B59" s="6"/>
      <c r="C59" s="7"/>
      <c r="D59" s="7"/>
      <c r="E59" s="8"/>
      <c r="F59" s="5"/>
      <c r="G59" s="7"/>
      <c r="H59" s="8"/>
      <c r="I59" s="5"/>
      <c r="J59" s="6"/>
    </row>
    <row r="60" ht="18" customHeight="1" spans="1:10" x14ac:dyDescent="0.25">
      <c r="A60" s="9"/>
      <c r="B60" s="10"/>
      <c r="C60" s="11"/>
      <c r="D60" s="11"/>
      <c r="E60" s="12"/>
      <c r="F60" s="9"/>
      <c r="G60" s="11"/>
      <c r="H60" s="12"/>
      <c r="I60" s="9"/>
      <c r="J60" s="10"/>
    </row>
    <row r="61" ht="18" customHeight="1" spans="1:10" x14ac:dyDescent="0.25">
      <c r="A61" s="5"/>
      <c r="B61" s="6"/>
      <c r="C61" s="7"/>
      <c r="D61" s="7"/>
      <c r="E61" s="8"/>
      <c r="F61" s="5"/>
      <c r="G61" s="7"/>
      <c r="H61" s="8"/>
      <c r="I61" s="5"/>
      <c r="J61" s="6"/>
    </row>
    <row r="62" ht="18" customHeight="1" spans="1:10" x14ac:dyDescent="0.25">
      <c r="A62" s="9"/>
      <c r="B62" s="10"/>
      <c r="C62" s="11"/>
      <c r="D62" s="11"/>
      <c r="E62" s="12"/>
      <c r="F62" s="9"/>
      <c r="G62" s="11"/>
      <c r="H62" s="12"/>
      <c r="I62" s="9"/>
      <c r="J62" s="10"/>
    </row>
    <row r="63" ht="18" customHeight="1" spans="1:10" x14ac:dyDescent="0.25">
      <c r="A63" s="5"/>
      <c r="B63" s="6"/>
      <c r="C63" s="7"/>
      <c r="D63" s="7"/>
      <c r="E63" s="8"/>
      <c r="F63" s="5"/>
      <c r="G63" s="7"/>
      <c r="H63" s="8"/>
      <c r="I63" s="5"/>
      <c r="J63" s="6"/>
    </row>
    <row r="64" ht="18" customHeight="1" spans="1:10" x14ac:dyDescent="0.25">
      <c r="A64" s="9"/>
      <c r="B64" s="10"/>
      <c r="C64" s="11"/>
      <c r="D64" s="11"/>
      <c r="E64" s="12"/>
      <c r="F64" s="9"/>
      <c r="G64" s="11"/>
      <c r="H64" s="12"/>
      <c r="I64" s="9"/>
      <c r="J64" s="10"/>
    </row>
    <row r="65" ht="18" customHeight="1" spans="1:10" x14ac:dyDescent="0.25">
      <c r="A65" s="5"/>
      <c r="B65" s="6"/>
      <c r="C65" s="7"/>
      <c r="D65" s="7"/>
      <c r="E65" s="8"/>
      <c r="F65" s="5"/>
      <c r="G65" s="7"/>
      <c r="H65" s="8"/>
      <c r="I65" s="5"/>
      <c r="J65" s="6"/>
    </row>
    <row r="66" ht="18" customHeight="1" spans="1:10" x14ac:dyDescent="0.25">
      <c r="A66" s="9"/>
      <c r="B66" s="10"/>
      <c r="C66" s="11"/>
      <c r="D66" s="11"/>
      <c r="E66" s="12"/>
      <c r="F66" s="9"/>
      <c r="G66" s="11"/>
      <c r="H66" s="12"/>
      <c r="I66" s="9"/>
      <c r="J66" s="10"/>
    </row>
    <row r="67" ht="18" customHeight="1" spans="1:10" x14ac:dyDescent="0.25">
      <c r="A67" s="5"/>
      <c r="B67" s="6"/>
      <c r="C67" s="7"/>
      <c r="D67" s="7"/>
      <c r="E67" s="8"/>
      <c r="F67" s="5"/>
      <c r="G67" s="7"/>
      <c r="H67" s="8"/>
      <c r="I67" s="5"/>
      <c r="J67" s="6"/>
    </row>
    <row r="68" ht="18" customHeight="1" spans="1:10" x14ac:dyDescent="0.25">
      <c r="A68" s="9"/>
      <c r="B68" s="10"/>
      <c r="C68" s="11"/>
      <c r="D68" s="11"/>
      <c r="E68" s="12"/>
      <c r="F68" s="9"/>
      <c r="G68" s="11"/>
      <c r="H68" s="12"/>
      <c r="I68" s="9"/>
      <c r="J68" s="10"/>
    </row>
    <row r="69" ht="18" customHeight="1" spans="1:10" x14ac:dyDescent="0.25">
      <c r="A69" s="5"/>
      <c r="B69" s="6"/>
      <c r="C69" s="7"/>
      <c r="D69" s="7"/>
      <c r="E69" s="8"/>
      <c r="F69" s="5"/>
      <c r="G69" s="7"/>
      <c r="H69" s="8"/>
      <c r="I69" s="5"/>
      <c r="J69" s="6"/>
    </row>
    <row r="70" ht="18" customHeight="1" spans="1:10" x14ac:dyDescent="0.25">
      <c r="A70" s="9"/>
      <c r="B70" s="10"/>
      <c r="C70" s="11"/>
      <c r="D70" s="11"/>
      <c r="E70" s="12"/>
      <c r="F70" s="9"/>
      <c r="G70" s="11"/>
      <c r="H70" s="12"/>
      <c r="I70" s="9"/>
      <c r="J70" s="10"/>
    </row>
    <row r="71" ht="18" customHeight="1" spans="1:10" x14ac:dyDescent="0.25">
      <c r="A71" s="5"/>
      <c r="B71" s="6"/>
      <c r="C71" s="7"/>
      <c r="D71" s="7"/>
      <c r="E71" s="8"/>
      <c r="F71" s="5"/>
      <c r="G71" s="7"/>
      <c r="H71" s="8"/>
      <c r="I71" s="5"/>
      <c r="J71" s="6"/>
    </row>
    <row r="72" ht="18" customHeight="1" spans="1:10" x14ac:dyDescent="0.25">
      <c r="A72" s="9"/>
      <c r="B72" s="10"/>
      <c r="C72" s="11"/>
      <c r="D72" s="11"/>
      <c r="E72" s="12"/>
      <c r="F72" s="9"/>
      <c r="G72" s="11"/>
      <c r="H72" s="12"/>
      <c r="I72" s="9"/>
      <c r="J72" s="10"/>
    </row>
    <row r="73" ht="18" customHeight="1" spans="1:10" x14ac:dyDescent="0.25">
      <c r="A73" s="5"/>
      <c r="B73" s="6"/>
      <c r="C73" s="7"/>
      <c r="D73" s="7"/>
      <c r="E73" s="8"/>
      <c r="F73" s="5"/>
      <c r="G73" s="7"/>
      <c r="H73" s="8"/>
      <c r="I73" s="5"/>
      <c r="J73" s="6"/>
    </row>
    <row r="74" ht="18" customHeight="1" spans="1:10" x14ac:dyDescent="0.25">
      <c r="A74" s="9"/>
      <c r="B74" s="10"/>
      <c r="C74" s="11"/>
      <c r="D74" s="11"/>
      <c r="E74" s="12"/>
      <c r="F74" s="9"/>
      <c r="G74" s="11"/>
      <c r="H74" s="12"/>
      <c r="I74" s="9"/>
      <c r="J74" s="10"/>
    </row>
    <row r="75" ht="18" customHeight="1" spans="1:10" x14ac:dyDescent="0.25">
      <c r="A75" s="5"/>
      <c r="B75" s="6"/>
      <c r="C75" s="7"/>
      <c r="D75" s="7"/>
      <c r="E75" s="8"/>
      <c r="F75" s="5"/>
      <c r="G75" s="7"/>
      <c r="H75" s="8"/>
      <c r="I75" s="5"/>
      <c r="J75" s="6"/>
    </row>
    <row r="76" ht="18" customHeight="1" spans="1:10" x14ac:dyDescent="0.25">
      <c r="A76" s="9"/>
      <c r="B76" s="10"/>
      <c r="C76" s="11"/>
      <c r="D76" s="11"/>
      <c r="E76" s="12"/>
      <c r="F76" s="9"/>
      <c r="G76" s="11"/>
      <c r="H76" s="12"/>
      <c r="I76" s="9"/>
      <c r="J76" s="10"/>
    </row>
    <row r="77" ht="18" customHeight="1" spans="1:10" x14ac:dyDescent="0.25">
      <c r="A77" s="5"/>
      <c r="B77" s="6"/>
      <c r="C77" s="7"/>
      <c r="D77" s="7"/>
      <c r="E77" s="8"/>
      <c r="F77" s="5"/>
      <c r="G77" s="7"/>
      <c r="H77" s="8"/>
      <c r="I77" s="5"/>
      <c r="J77" s="6"/>
    </row>
    <row r="78" ht="18" customHeight="1" spans="1:10" x14ac:dyDescent="0.25">
      <c r="A78" s="9"/>
      <c r="B78" s="10"/>
      <c r="C78" s="11"/>
      <c r="D78" s="11"/>
      <c r="E78" s="12"/>
      <c r="F78" s="9"/>
      <c r="G78" s="11"/>
      <c r="H78" s="12"/>
      <c r="I78" s="9"/>
      <c r="J78" s="10"/>
    </row>
    <row r="79" ht="18" customHeight="1" spans="1:10" x14ac:dyDescent="0.25">
      <c r="A79" s="5"/>
      <c r="B79" s="6"/>
      <c r="C79" s="7"/>
      <c r="D79" s="7"/>
      <c r="E79" s="8"/>
      <c r="F79" s="5"/>
      <c r="G79" s="7"/>
      <c r="H79" s="8"/>
      <c r="I79" s="5"/>
      <c r="J79" s="6"/>
    </row>
    <row r="80" ht="18" customHeight="1" spans="1:10" x14ac:dyDescent="0.25">
      <c r="A80" s="9"/>
      <c r="B80" s="10"/>
      <c r="C80" s="11"/>
      <c r="D80" s="11"/>
      <c r="E80" s="12"/>
      <c r="F80" s="9"/>
      <c r="G80" s="11"/>
      <c r="H80" s="12"/>
      <c r="I80" s="9"/>
      <c r="J80" s="10"/>
    </row>
    <row r="81" ht="18" customHeight="1" spans="1:10" x14ac:dyDescent="0.25">
      <c r="A81" s="5"/>
      <c r="B81" s="6"/>
      <c r="C81" s="7"/>
      <c r="D81" s="7"/>
      <c r="E81" s="8"/>
      <c r="F81" s="5"/>
      <c r="G81" s="7"/>
      <c r="H81" s="8"/>
      <c r="I81" s="5"/>
      <c r="J81" s="6"/>
    </row>
    <row r="82" ht="18" customHeight="1" spans="1:10" x14ac:dyDescent="0.25">
      <c r="A82" s="9"/>
      <c r="B82" s="10"/>
      <c r="C82" s="11"/>
      <c r="D82" s="11"/>
      <c r="E82" s="12"/>
      <c r="F82" s="9"/>
      <c r="G82" s="11"/>
      <c r="H82" s="12"/>
      <c r="I82" s="9"/>
      <c r="J82" s="10"/>
    </row>
    <row r="83" ht="18" customHeight="1" spans="1:10" x14ac:dyDescent="0.25">
      <c r="A83" s="5"/>
      <c r="B83" s="6"/>
      <c r="C83" s="7"/>
      <c r="D83" s="7"/>
      <c r="E83" s="8"/>
      <c r="F83" s="5"/>
      <c r="G83" s="7"/>
      <c r="H83" s="8"/>
      <c r="I83" s="5"/>
      <c r="J83" s="6"/>
    </row>
    <row r="84" ht="18" customHeight="1" spans="1:10" x14ac:dyDescent="0.25">
      <c r="A84" s="9"/>
      <c r="B84" s="10"/>
      <c r="C84" s="11"/>
      <c r="D84" s="11"/>
      <c r="E84" s="12"/>
      <c r="F84" s="9"/>
      <c r="G84" s="11"/>
      <c r="H84" s="12"/>
      <c r="I84" s="9"/>
      <c r="J84" s="10"/>
    </row>
    <row r="85" ht="18" customHeight="1" spans="1:10" x14ac:dyDescent="0.25">
      <c r="A85" s="5"/>
      <c r="B85" s="6"/>
      <c r="C85" s="7"/>
      <c r="D85" s="7"/>
      <c r="E85" s="8"/>
      <c r="F85" s="5"/>
      <c r="G85" s="7"/>
      <c r="H85" s="8"/>
      <c r="I85" s="5"/>
      <c r="J85" s="6"/>
    </row>
    <row r="86" ht="18" customHeight="1" spans="1:10" x14ac:dyDescent="0.25">
      <c r="A86" s="9"/>
      <c r="B86" s="10"/>
      <c r="C86" s="11"/>
      <c r="D86" s="11"/>
      <c r="E86" s="12"/>
      <c r="F86" s="9"/>
      <c r="G86" s="11"/>
      <c r="H86" s="12"/>
      <c r="I86" s="9"/>
      <c r="J86" s="10"/>
    </row>
    <row r="87" ht="18" customHeight="1" spans="1:10" x14ac:dyDescent="0.25">
      <c r="A87" s="5"/>
      <c r="B87" s="6"/>
      <c r="C87" s="7"/>
      <c r="D87" s="7"/>
      <c r="E87" s="8"/>
      <c r="F87" s="5"/>
      <c r="G87" s="7"/>
      <c r="H87" s="8"/>
      <c r="I87" s="5"/>
      <c r="J87" s="6"/>
    </row>
    <row r="88" ht="18" customHeight="1" spans="1:10" x14ac:dyDescent="0.25">
      <c r="A88" s="9"/>
      <c r="B88" s="10"/>
      <c r="C88" s="11"/>
      <c r="D88" s="11"/>
      <c r="E88" s="12"/>
      <c r="F88" s="9"/>
      <c r="G88" s="11"/>
      <c r="H88" s="12"/>
      <c r="I88" s="9"/>
      <c r="J88" s="10"/>
    </row>
    <row r="89" ht="18" customHeight="1" spans="1:10" x14ac:dyDescent="0.25">
      <c r="A89" s="5"/>
      <c r="B89" s="6"/>
      <c r="C89" s="7"/>
      <c r="D89" s="7"/>
      <c r="E89" s="8"/>
      <c r="F89" s="5"/>
      <c r="G89" s="7"/>
      <c r="H89" s="8"/>
      <c r="I89" s="5"/>
      <c r="J89" s="6"/>
    </row>
    <row r="90" ht="18" customHeight="1" spans="1:10" x14ac:dyDescent="0.25">
      <c r="A90" s="9"/>
      <c r="B90" s="10"/>
      <c r="C90" s="11"/>
      <c r="D90" s="11"/>
      <c r="E90" s="12"/>
      <c r="F90" s="9"/>
      <c r="G90" s="11"/>
      <c r="H90" s="12"/>
      <c r="I90" s="9"/>
      <c r="J90" s="10"/>
    </row>
    <row r="91" ht="18" customHeight="1" spans="1:10" x14ac:dyDescent="0.25">
      <c r="A91" s="5"/>
      <c r="B91" s="6"/>
      <c r="C91" s="7"/>
      <c r="D91" s="7"/>
      <c r="E91" s="8"/>
      <c r="F91" s="5"/>
      <c r="G91" s="7"/>
      <c r="H91" s="8"/>
      <c r="I91" s="5"/>
      <c r="J91" s="6"/>
    </row>
    <row r="92" ht="18" customHeight="1" spans="1:10" x14ac:dyDescent="0.25">
      <c r="A92" s="9"/>
      <c r="B92" s="10"/>
      <c r="C92" s="11"/>
      <c r="D92" s="11"/>
      <c r="E92" s="12"/>
      <c r="F92" s="9"/>
      <c r="G92" s="11"/>
      <c r="H92" s="12"/>
      <c r="I92" s="9"/>
      <c r="J92" s="10"/>
    </row>
    <row r="93" ht="18" customHeight="1" spans="1:10" x14ac:dyDescent="0.25">
      <c r="A93" s="5"/>
      <c r="B93" s="6"/>
      <c r="C93" s="7"/>
      <c r="D93" s="7"/>
      <c r="E93" s="8"/>
      <c r="F93" s="5"/>
      <c r="G93" s="7"/>
      <c r="H93" s="8"/>
      <c r="I93" s="5"/>
      <c r="J93" s="6"/>
    </row>
    <row r="94" ht="18" customHeight="1" spans="1:10" x14ac:dyDescent="0.25">
      <c r="A94" s="9"/>
      <c r="B94" s="10"/>
      <c r="C94" s="11"/>
      <c r="D94" s="11"/>
      <c r="E94" s="12"/>
      <c r="F94" s="9"/>
      <c r="G94" s="11"/>
      <c r="H94" s="12"/>
      <c r="I94" s="9"/>
      <c r="J94" s="10"/>
    </row>
    <row r="95" ht="18" customHeight="1" spans="1:10" x14ac:dyDescent="0.25">
      <c r="A95" s="5"/>
      <c r="B95" s="6"/>
      <c r="C95" s="7"/>
      <c r="D95" s="7"/>
      <c r="E95" s="8"/>
      <c r="F95" s="5"/>
      <c r="G95" s="7"/>
      <c r="H95" s="8"/>
      <c r="I95" s="5"/>
      <c r="J95" s="6"/>
    </row>
    <row r="96" ht="18" customHeight="1" spans="1:10" x14ac:dyDescent="0.25">
      <c r="A96" s="9"/>
      <c r="B96" s="10"/>
      <c r="C96" s="11"/>
      <c r="D96" s="11"/>
      <c r="E96" s="12"/>
      <c r="F96" s="9"/>
      <c r="G96" s="11"/>
      <c r="H96" s="12"/>
      <c r="I96" s="9"/>
      <c r="J96" s="10"/>
    </row>
    <row r="97" ht="18" customHeight="1" spans="1:10" x14ac:dyDescent="0.25">
      <c r="A97" s="5"/>
      <c r="B97" s="6"/>
      <c r="C97" s="7"/>
      <c r="D97" s="7"/>
      <c r="E97" s="8"/>
      <c r="F97" s="5"/>
      <c r="G97" s="7"/>
      <c r="H97" s="8"/>
      <c r="I97" s="5"/>
      <c r="J97" s="6"/>
    </row>
    <row r="98" ht="18" customHeight="1" spans="1:10" x14ac:dyDescent="0.25">
      <c r="A98" s="9"/>
      <c r="B98" s="10"/>
      <c r="C98" s="11"/>
      <c r="D98" s="11"/>
      <c r="E98" s="12"/>
      <c r="F98" s="9"/>
      <c r="G98" s="11"/>
      <c r="H98" s="12"/>
      <c r="I98" s="9"/>
      <c r="J98" s="10"/>
    </row>
    <row r="99" ht="18" customHeight="1" spans="1:10" x14ac:dyDescent="0.25">
      <c r="A99" s="5"/>
      <c r="B99" s="6"/>
      <c r="C99" s="7"/>
      <c r="D99" s="7"/>
      <c r="E99" s="8"/>
      <c r="F99" s="5"/>
      <c r="G99" s="7"/>
      <c r="H99" s="8"/>
      <c r="I99" s="5"/>
      <c r="J99" s="6"/>
    </row>
    <row r="100" ht="18" customHeight="1" spans="1:10" x14ac:dyDescent="0.25">
      <c r="A100" s="9"/>
      <c r="B100" s="10"/>
      <c r="C100" s="11"/>
      <c r="D100" s="11"/>
      <c r="E100" s="12"/>
      <c r="F100" s="9"/>
      <c r="G100" s="11"/>
      <c r="H100" s="12"/>
      <c r="I100" s="9"/>
      <c r="J100" s="10"/>
    </row>
    <row r="101" ht="18" customHeight="1" spans="1:10" x14ac:dyDescent="0.25">
      <c r="A101" s="5"/>
      <c r="B101" s="6"/>
      <c r="C101" s="7"/>
      <c r="D101" s="7"/>
      <c r="E101" s="8"/>
      <c r="F101" s="5"/>
      <c r="G101" s="7"/>
      <c r="H101" s="8"/>
      <c r="I101" s="5"/>
      <c r="J101" s="6"/>
    </row>
    <row r="102" ht="18" customHeight="1" spans="1:10" x14ac:dyDescent="0.25">
      <c r="A102" s="9"/>
      <c r="B102" s="10"/>
      <c r="C102" s="11"/>
      <c r="D102" s="11"/>
      <c r="E102" s="12"/>
      <c r="F102" s="9"/>
      <c r="G102" s="11"/>
      <c r="H102" s="12"/>
      <c r="I102" s="9"/>
      <c r="J102" s="10"/>
    </row>
    <row r="103" ht="18" customHeight="1" spans="1:10" x14ac:dyDescent="0.25">
      <c r="A103" s="5"/>
      <c r="B103" s="6"/>
      <c r="C103" s="7"/>
      <c r="D103" s="7"/>
      <c r="E103" s="8"/>
      <c r="F103" s="5"/>
      <c r="G103" s="7"/>
      <c r="H103" s="8"/>
      <c r="I103" s="5"/>
      <c r="J103" s="6"/>
    </row>
    <row r="104" ht="18" customHeight="1" spans="1:10" x14ac:dyDescent="0.25">
      <c r="A104" s="9"/>
      <c r="B104" s="10"/>
      <c r="C104" s="11"/>
      <c r="D104" s="11"/>
      <c r="E104" s="12"/>
      <c r="F104" s="9"/>
      <c r="G104" s="11"/>
      <c r="H104" s="12"/>
      <c r="I104" s="9"/>
      <c r="J104" s="10"/>
    </row>
  </sheetData>
  <autoFilter ref="A4:J4"/>
  <mergeCells count="3">
    <mergeCell ref="A1:J1"/>
    <mergeCell ref="A2:J2"/>
    <mergeCell ref="A3:J3"/>
  </mergeCells>
  <dataValidations count="18">
    <dataValidation type="list" allowBlank="1" showInputMessage="1" promptTitle="Cycle" prompt="Leave blank for Cycle 1. Choose Re-audit for cases in the second cycle." showErrorMessage="1" errorStyle="stop" errorTitle="Cycle" error="Please choose a value from the list." sqref="A10:A104">
      <formula1>"Cycle 1,Re-audit"</formula1>
    </dataValidation>
    <dataValidation type="list" allowBlank="1" showInputMessage="1" promptTitle="Cycle" prompt="Leave blank for Cycle 1. Choose Re-audit for cases in the second cycle." showErrorMessage="1" errorStyle="stop" errorTitle="Cycle" error="Please choose a value from the list." sqref="A5:A104">
      <formula1>"Cycle 1,Re-audit"</formula1>
    </dataValidation>
    <dataValidation type="date" operator="greaterThan" allowBlank="1" showErrorMessage="1" errorStyle="stop" errorTitle="Arrival datetime" error="Please enter a date as dd/mm/yyyy hh:mm." sqref="C10:C104">
      <formula1>32874</formula1>
    </dataValidation>
    <dataValidation type="date" operator="greaterThan" allowBlank="1" showErrorMessage="1" errorStyle="stop" errorTitle="Arrival datetime" error="Please enter a date as dd/mm/yyyy hh:mm." sqref="C5:C104">
      <formula1>32874</formula1>
    </dataValidation>
    <dataValidation type="date" operator="greaterThan" allowBlank="1" showErrorMessage="1" errorStyle="stop" errorTitle="First ed news2 datetime" error="Please enter a date as dd/mm/yyyy hh:mm." sqref="D10:D104">
      <formula1>32874</formula1>
    </dataValidation>
    <dataValidation type="date" operator="greaterThan" allowBlank="1" showErrorMessage="1" errorStyle="stop" errorTitle="First ed news2 datetime" error="Please enter a date as dd/mm/yyyy hh:mm." sqref="D5:D104">
      <formula1>32874</formula1>
    </dataValidation>
    <dataValidation type="decimal" operator="greaterThanOrEqual" allowBlank="1" showErrorMessage="1" errorStyle="stop" errorTitle="First ed news2 score" error="Please enter a number of 0 or more." sqref="E10:E104">
      <formula1>0</formula1>
    </dataValidation>
    <dataValidation type="decimal" operator="greaterThanOrEqual" allowBlank="1" showErrorMessage="1" errorStyle="stop" errorTitle="First ed news2 score" error="Please enter a number of 0 or more." sqref="E5:E104">
      <formula1>0</formula1>
    </dataValidation>
    <dataValidation type="list" allowBlank="1" showErrorMessage="1" errorStyle="stop" errorTitle="Prehospital antibiotic given" error="Please choose a value from the list." sqref="F10:F104">
      <formula1>"Yes,No,N/A"</formula1>
    </dataValidation>
    <dataValidation type="list" allowBlank="1" showErrorMessage="1" errorStyle="stop" errorTitle="Prehospital antibiotic given" error="Please choose a value from the list." sqref="F5:F104">
      <formula1>"Yes,No,N/A"</formula1>
    </dataValidation>
    <dataValidation type="date" operator="greaterThan" allowBlank="1" showInputMessage="1" promptTitle="Antibiotic administered datetime" prompt="Time given, not time prescribed" showErrorMessage="1" errorStyle="stop" errorTitle="Antibiotic administered datetime" error="Please enter a date as dd/mm/yyyy hh:mm." sqref="G10:G104">
      <formula1>32874</formula1>
    </dataValidation>
    <dataValidation type="date" operator="greaterThan" allowBlank="1" showInputMessage="1" promptTitle="Antibiotic administered datetime" prompt="Time given, not time prescribed" showErrorMessage="1" errorStyle="stop" errorTitle="Antibiotic administered datetime" error="Please enter a date as dd/mm/yyyy hh:mm." sqref="G5:G104">
      <formula1>32874</formula1>
    </dataValidation>
    <dataValidation type="decimal" operator="greaterThanOrEqual" allowBlank="1" showErrorMessage="1" errorStyle="stop" errorTitle="Minutes news2 to antibiotic" error="Please enter a number of 0 or more." sqref="H10:H104">
      <formula1>0</formula1>
    </dataValidation>
    <dataValidation type="decimal" operator="greaterThanOrEqual" allowBlank="1" showErrorMessage="1" errorStyle="stop" errorTitle="Minutes news2 to antibiotic" error="Please enter a number of 0 or more." sqref="H5:H104">
      <formula1>0</formula1>
    </dataValidation>
    <dataValidation type="list" allowBlank="1" showInputMessage="1" promptTitle="Antibiotic within 60 min" prompt="Pass criterion" showErrorMessage="1" errorStyle="stop" errorTitle="Antibiotic within 60 min" error="Please choose a value from the list." sqref="I10:I104">
      <formula1>"Yes,No,N/A"</formula1>
    </dataValidation>
    <dataValidation type="list" allowBlank="1" showInputMessage="1" promptTitle="Antibiotic within 60 min" prompt="Pass criterion" showErrorMessage="1" errorStyle="stop" errorTitle="Antibiotic within 60 min" error="Please choose a value from the list." sqref="I5:I104">
      <formula1>"Yes,No,N/A"</formula1>
    </dataValidation>
    <dataValidation type="list" allowBlank="1" showErrorMessage="1" errorStyle="stop" errorTitle="Reason for delay" error="Please choose a value from the list." sqref="J10:J104">
      <formula1>"no delay,not recognised as sepsis,no IV access,prescribing delay,awaiting senior review,other"</formula1>
    </dataValidation>
    <dataValidation type="list" allowBlank="1" showErrorMessage="1" errorStyle="stop" errorTitle="Reason for delay" error="Please choose a value from the list." sqref="J5:J104">
      <formula1>"no delay,not recognised as sepsis,no IV access,prescribing delay,awaiting senior review,other"</formula1>
    </dataValidation>
  </dataValidations>
  <pageMargins left="0.7" right="0.7" top="0.75" bottom="0.75" header="0.3" footer="0.3"/>
  <pageSetup paperSize="9" orientation="landscape" horizontalDpi="4294967295" verticalDpi="4294967295" scale="100" fitToWidth="1" fitToHeight="0"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showGridLines="0" zoomScale="100" zoomScaleNormal="100"/>
  </sheetViews>
  <sheetFormatPr defaultRowHeight="15" outlineLevelRow="0" outlineLevelCol="0" x14ac:dyDescent="55"/>
  <cols>
    <col min="1" max="1" width="34" customWidth="1"/>
    <col min="2" max="3" width="18" customWidth="1"/>
    <col min="4" max="4" width="4" customWidth="1"/>
    <col min="5" max="5" width="40" customWidth="1"/>
    <col min="7" max="8" width="9" hidden="1" customWidth="1"/>
  </cols>
  <sheetData>
    <row r="1" ht="30" customHeight="1" spans="1:5" x14ac:dyDescent="0.25">
      <c r="A1" s="13" t="s">
        <v>61</v>
      </c>
      <c r="B1" s="13"/>
      <c r="C1" s="13"/>
      <c r="D1" s="13"/>
      <c r="E1" s="13"/>
    </row>
    <row r="2" ht="32" customHeight="1" spans="1:5" x14ac:dyDescent="0.25">
      <c r="A2" s="14" t="s">
        <v>62</v>
      </c>
      <c r="B2" s="14"/>
      <c r="C2" s="14"/>
      <c r="D2" s="14"/>
      <c r="E2" s="14"/>
    </row>
    <row r="4" ht="22" customHeight="1" spans="1:5" x14ac:dyDescent="0.25">
      <c r="A4" s="15" t="s">
        <v>63</v>
      </c>
      <c r="B4" s="16" t="s">
        <v>13</v>
      </c>
      <c r="C4" s="16" t="s">
        <v>64</v>
      </c>
      <c r="E4" s="17" t="s">
        <v>65</v>
      </c>
    </row>
    <row r="5" spans="1:5" x14ac:dyDescent="0.25">
      <c r="A5" s="18" t="s">
        <v>66</v>
      </c>
      <c r="B5" s="19">
        <f>SUMPRODUCT((((Data!$B$5:$B$104&lt;&gt;"")+(Data!$I$5:$I$104&lt;&gt;""))&gt;0)*((Data!$A$5:$A$104="Cycle 1")+(Data!$A$5:$A$104="")))</f>
      </c>
      <c r="C5" s="19">
        <f>SUMPRODUCT((((Data!$B$5:$B$104&lt;&gt;"")+(Data!$I$5:$I$104&lt;&gt;""))&gt;0)*(Data!$A$5:$A$104="Re-audit"))</f>
      </c>
      <c r="E5" s="17"/>
    </row>
    <row r="6" spans="1:5" x14ac:dyDescent="0.25">
      <c r="A6" s="18" t="s">
        <v>67</v>
      </c>
      <c r="B6" s="19">
        <f>SUMPRODUCT((Data!$I$5:$I$104="Yes")*((Data!$A$5:$A$104="Cycle 1")+(Data!$A$5:$A$104="")))</f>
      </c>
      <c r="C6" s="19">
        <f>SUMPRODUCT((Data!$I$5:$I$104="Yes")*(Data!$A$5:$A$104="Re-audit"))</f>
      </c>
      <c r="E6" s="17"/>
    </row>
    <row r="7" spans="1:5" x14ac:dyDescent="0.25">
      <c r="A7" s="18" t="s">
        <v>68</v>
      </c>
      <c r="B7" s="19">
        <f>SUMPRODUCT((Data!$I$5:$I$104="No")*((Data!$A$5:$A$104="Cycle 1")+(Data!$A$5:$A$104="")))</f>
      </c>
      <c r="C7" s="19">
        <f>SUMPRODUCT((Data!$I$5:$I$104="No")*(Data!$A$5:$A$104="Re-audit"))</f>
      </c>
      <c r="E7" s="17"/>
    </row>
    <row r="8" spans="1:5" x14ac:dyDescent="0.25">
      <c r="A8" s="18" t="s">
        <v>69</v>
      </c>
      <c r="B8" s="19">
        <f>SUMPRODUCT((Data!$I$5:$I$104="N/A")*((Data!$A$5:$A$104="Cycle 1")+(Data!$A$5:$A$104="")))</f>
      </c>
      <c r="C8" s="19">
        <f>SUMPRODUCT((Data!$I$5:$I$104="N/A")*(Data!$A$5:$A$104="Re-audit"))</f>
      </c>
      <c r="E8" s="17"/>
    </row>
    <row r="9" ht="40" customHeight="1" spans="1:5" x14ac:dyDescent="0.25">
      <c r="A9" s="20" t="s">
        <v>70</v>
      </c>
      <c r="B9" s="21">
        <f>IF((B6+B7)=0,"",B6/(B6+B7))</f>
      </c>
      <c r="C9" s="21">
        <f>IF((C6+C7)=0,"",C6/(C6+C7))</f>
      </c>
      <c r="E9" s="17"/>
    </row>
    <row r="10" spans="1:5" x14ac:dyDescent="0.25">
      <c r="A10" s="18" t="s">
        <v>71</v>
      </c>
      <c r="B10" s="22">
        <v>0.9</v>
      </c>
      <c r="C10" s="22">
        <v>0.9</v>
      </c>
      <c r="E10" s="17"/>
    </row>
    <row r="11" spans="1:5" x14ac:dyDescent="0.25">
      <c r="A11" s="18" t="s">
        <v>72</v>
      </c>
      <c r="B11" s="23">
        <f>IF(B9="","",IF(B9&gt;=B10,"Yes","No"))</f>
      </c>
      <c r="C11" s="23">
        <f>IF(C9="","",IF(C9&gt;=C10,"Yes","No"))</f>
      </c>
      <c r="E11" s="17"/>
    </row>
    <row r="12" ht="30" customHeight="1" spans="1:5" x14ac:dyDescent="0.25">
      <c r="A12" s="18" t="s">
        <v>73</v>
      </c>
      <c r="B12" s="24">
        <f>IF(OR(B9="",C9=""),"",ROUND((C9-B9)*100,1))</f>
      </c>
      <c r="C12" s="24"/>
      <c r="E12" s="17"/>
    </row>
    <row r="14" ht="32" customHeight="1" spans="1:5" x14ac:dyDescent="0.25">
      <c r="A14" s="25" t="s">
        <v>74</v>
      </c>
      <c r="B14" s="25"/>
      <c r="C14" s="25"/>
      <c r="D14" s="25"/>
      <c r="E14" s="25"/>
    </row>
    <row r="15" ht="48" customHeight="1" spans="1:5" x14ac:dyDescent="0.25">
      <c r="A15" s="26">
        <f>"AI4QI v1 | NNA-074 | C1 "&amp;B6&amp;"/"&amp;(B6+B7)&amp;" n="&amp;B5&amp;" | RE "&amp;C6&amp;"/"&amp;(C6+C7)&amp;" n="&amp;C5&amp;IF(G17="",""," | "&amp;MID(G17,4,8000))</f>
      </c>
      <c r="B15" s="26"/>
      <c r="C15" s="26"/>
      <c r="D15" s="26"/>
      <c r="E15" s="26"/>
    </row>
    <row r="17" spans="7:7" x14ac:dyDescent="0.25">
      <c r="G17">
        <f>IF(G22="",""," ; C1 reason for delay: "&amp;G22)&amp;IF(OR(C5=0,H22=""),""," ; RE reason for delay: "&amp;H22)</f>
      </c>
    </row>
    <row r="18" spans="1:5" x14ac:dyDescent="0.25">
      <c r="A18" s="27" t="s">
        <v>75</v>
      </c>
      <c r="B18" s="27"/>
      <c r="C18" s="27"/>
      <c r="D18" s="27"/>
      <c r="E18" s="27"/>
    </row>
    <row r="19" spans="1:5" x14ac:dyDescent="0.25">
      <c r="A19" s="27"/>
      <c r="B19" s="27"/>
      <c r="C19" s="27"/>
      <c r="D19" s="27"/>
      <c r="E19" s="27"/>
    </row>
    <row r="21" ht="22" customHeight="1" spans="1:3" x14ac:dyDescent="0.25">
      <c r="A21" s="15" t="s">
        <v>12</v>
      </c>
      <c r="B21" s="16" t="s">
        <v>13</v>
      </c>
      <c r="C21" s="16" t="s">
        <v>64</v>
      </c>
    </row>
    <row r="22" spans="1:8" x14ac:dyDescent="0.25">
      <c r="A22" s="18" t="s">
        <v>17</v>
      </c>
      <c r="B22" s="19">
        <f>SUMPRODUCT((Data!$J$5:$J$104="no delay")*((Data!$A$5:$A$104="Cycle 1")+(Data!$A$5:$A$104="")))</f>
      </c>
      <c r="C22" s="19">
        <f>SUMPRODUCT((Data!$J$5:$J$104="no delay")*(Data!$A$5:$A$104="Re-audit"))</f>
      </c>
      <c r="G22">
        <f>MID(IF(B22&gt;0,", no delay="&amp;B22,"")&amp;IF(B23&gt;0,", not recognised as sepsis="&amp;B23,"")&amp;IF(B24&gt;0,", no IV access="&amp;B24,"")&amp;IF(B25&gt;0,", prescribing delay="&amp;B25,"")&amp;IF(B26&gt;0,", awaiting senior review="&amp;B26,"")&amp;IF(B27&gt;0,", other="&amp;B27,""),3,4000)</f>
      </c>
      <c r="H22">
        <f>MID(IF(C22&gt;0,", no delay="&amp;C22,"")&amp;IF(C23&gt;0,", not recognised as sepsis="&amp;C23,"")&amp;IF(C24&gt;0,", no IV access="&amp;C24,"")&amp;IF(C25&gt;0,", prescribing delay="&amp;C25,"")&amp;IF(C26&gt;0,", awaiting senior review="&amp;C26,"")&amp;IF(C27&gt;0,", other="&amp;C27,""),3,4000)</f>
      </c>
    </row>
    <row r="23" spans="1:3" x14ac:dyDescent="0.25">
      <c r="A23" s="18" t="s">
        <v>19</v>
      </c>
      <c r="B23" s="19">
        <f>SUMPRODUCT((Data!$J$5:$J$104="not recognised as sepsis")*((Data!$A$5:$A$104="Cycle 1")+(Data!$A$5:$A$104="")))</f>
      </c>
      <c r="C23" s="19">
        <f>SUMPRODUCT((Data!$J$5:$J$104="not recognised as sepsis")*(Data!$A$5:$A$104="Re-audit"))</f>
      </c>
    </row>
    <row r="24" spans="1:3" x14ac:dyDescent="0.25">
      <c r="A24" s="18" t="s">
        <v>21</v>
      </c>
      <c r="B24" s="19">
        <f>SUMPRODUCT((Data!$J$5:$J$104="no IV access")*((Data!$A$5:$A$104="Cycle 1")+(Data!$A$5:$A$104="")))</f>
      </c>
      <c r="C24" s="19">
        <f>SUMPRODUCT((Data!$J$5:$J$104="no IV access")*(Data!$A$5:$A$104="Re-audit"))</f>
      </c>
    </row>
    <row r="25" spans="1:3" x14ac:dyDescent="0.25">
      <c r="A25" s="18" t="s">
        <v>39</v>
      </c>
      <c r="B25" s="19">
        <f>SUMPRODUCT((Data!$J$5:$J$104="prescribing delay")*((Data!$A$5:$A$104="Cycle 1")+(Data!$A$5:$A$104="")))</f>
      </c>
      <c r="C25" s="19">
        <f>SUMPRODUCT((Data!$J$5:$J$104="prescribing delay")*(Data!$A$5:$A$104="Re-audit"))</f>
      </c>
    </row>
    <row r="26" spans="1:3" x14ac:dyDescent="0.25">
      <c r="A26" s="18" t="s">
        <v>32</v>
      </c>
      <c r="B26" s="19">
        <f>SUMPRODUCT((Data!$J$5:$J$104="awaiting senior review")*((Data!$A$5:$A$104="Cycle 1")+(Data!$A$5:$A$104="")))</f>
      </c>
      <c r="C26" s="19">
        <f>SUMPRODUCT((Data!$J$5:$J$104="awaiting senior review")*(Data!$A$5:$A$104="Re-audit"))</f>
      </c>
    </row>
    <row r="27" spans="1:3" x14ac:dyDescent="0.25">
      <c r="A27" s="18" t="s">
        <v>76</v>
      </c>
      <c r="B27" s="19">
        <f>SUMPRODUCT((Data!$J$5:$J$104="other")*((Data!$A$5:$A$104="Cycle 1")+(Data!$A$5:$A$104="")))</f>
      </c>
      <c r="C27" s="19">
        <f>SUMPRODUCT((Data!$J$5:$J$104="other")*(Data!$A$5:$A$104="Re-audit"))</f>
      </c>
    </row>
  </sheetData>
  <sheetProtection sheet="1" formatColumns="0" formatRows="0"/>
  <mergeCells count="7">
    <mergeCell ref="A1:E1"/>
    <mergeCell ref="A2:E2"/>
    <mergeCell ref="E4:E12"/>
    <mergeCell ref="B12:C12"/>
    <mergeCell ref="A14:E14"/>
    <mergeCell ref="A15:E15"/>
    <mergeCell ref="A18:E19"/>
  </mergeCells>
  <conditionalFormatting sqref="B9:C9">
    <cfRule type="dataBar" priority="1">
      <dataBar>
        <cfvo type="num" val="0"/>
        <cfvo type="num" val="1"/>
        <color rgb="FFECEEFC"/>
      </dataBar>
      <extLst>
        <ext xmlns:x14="http://schemas.microsoft.com/office/spreadsheetml/2009/9/main" uri="{B025F937-C7B1-47D3-B67F-A62EFF666E3E}">
          <x14:id>{7099F704-267F-49DD-A322-6026BC0E63A6}</x14:id>
        </ext>
      </extLst>
    </cfRule>
  </conditionalFormatting>
  <conditionalFormatting sqref="B11:C11">
    <cfRule type="cellIs" dxfId="0" priority="2" operator="equal">
      <formula>"Yes"</formula>
    </cfRule>
    <cfRule type="cellIs" dxfId="1" priority="3" operator="equal">
      <formula>"No"</formula>
    </cfRule>
  </conditionalFormatting>
  <conditionalFormatting sqref="B12">
    <cfRule type="cellIs" dxfId="2" priority="4" operator="greaterThan">
      <formula>0</formula>
    </cfRule>
  </conditionalFormatting>
  <conditionalFormatting sqref="B22:C27">
    <cfRule type="dataBar" priority="10">
      <dataBar>
        <cfvo type="num" val="0"/>
        <cfvo type="max"/>
        <color rgb="FFB9C0CE"/>
      </dataBar>
      <extLst>
        <ext xmlns:x14="http://schemas.microsoft.com/office/spreadsheetml/2009/9/main" uri="{B025F937-C7B1-47D3-B67F-A62EFF666E3E}">
          <x14:id>{3D813A45-44CD-4531-AA75-D0F40909628F}</x14:id>
        </ext>
      </extLst>
    </cfRule>
  </conditionalFormatting>
  <pageMargins left="0.7" right="0.7" top="0.75" bottom="0.75" header="0.3" footer="0.3"/>
  <pageSetup paperSize="9" orientation="portrait" horizontalDpi="4294967295" verticalDpi="4294967295" scale="100" fitToWidth="1" fitToHeight="0" firstPageNumber="1" useFirstPageNumber="1" copies="1"/>
  <extLst>
    <ext xmlns:x14="http://schemas.microsoft.com/office/spreadsheetml/2009/9/main" uri="{78C0D931-6437-407d-A8EE-F0AAD7539E65}">
      <x14:conditionalFormattings>
        <x14:conditionalFormatting xmlns:xm="http://schemas.microsoft.com/office/excel/2006/main">
          <x14:cfRule type="dataBar" id="{7099F704-267F-49DD-A322-6026BC0E63A6}">
            <x14:dataBar minLength="0" maxLength="100" gradient="0">
              <x14:cfvo type="num">
                <xm:f>0</xm:f>
              </x14:cfvo>
              <x14:cfvo type="num">
                <xm:f>1</xm:f>
              </x14:cfvo>
            </x14:dataBar>
          </x14:cfRule>
          <xm:sqref>B9:C9</xm:sqref>
        </x14:conditionalFormatting>
        <x14:conditionalFormatting xmlns:xm="http://schemas.microsoft.com/office/excel/2006/main">
          <x14:cfRule type="dataBar" id="{3D813A45-44CD-4531-AA75-D0F40909628F}">
            <x14:dataBar minLength="0" maxLength="100" gradient="0">
              <x14:cfvo type="num">
                <xm:f>0</xm:f>
              </x14:cfvo>
              <x14:cfvo type="max"/>
            </x14:dataBar>
          </x14:cfRule>
          <xm:sqref>B22:C27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9"/>
  <sheetViews>
    <sheetView workbookViewId="0" showGridLines="0" zoomScale="100" zoomScaleNormal="100"/>
  </sheetViews>
  <sheetFormatPr defaultRowHeight="15" outlineLevelRow="0" outlineLevelCol="0" x14ac:dyDescent="55"/>
  <cols>
    <col min="1" max="1" width="24" customWidth="1"/>
    <col min="2" max="2" width="96" customWidth="1"/>
  </cols>
  <sheetData>
    <row r="1" ht="30" customHeight="1" spans="1:2" x14ac:dyDescent="0.25">
      <c r="A1" s="13" t="s">
        <v>77</v>
      </c>
      <c r="B1" s="13"/>
    </row>
    <row r="3" ht="20" customHeight="1" spans="1:2" x14ac:dyDescent="0.25">
      <c r="A3" s="28" t="s">
        <v>78</v>
      </c>
      <c r="B3" s="29" t="s">
        <v>79</v>
      </c>
    </row>
    <row r="4" ht="35" customHeight="1" spans="1:2" x14ac:dyDescent="0.25">
      <c r="A4" s="28" t="s">
        <v>80</v>
      </c>
      <c r="B4" s="29" t="s">
        <v>0</v>
      </c>
    </row>
    <row r="5" ht="20" customHeight="1" spans="1:2" x14ac:dyDescent="0.25">
      <c r="A5" s="28" t="s">
        <v>81</v>
      </c>
      <c r="B5" s="29" t="s">
        <v>82</v>
      </c>
    </row>
    <row r="6" ht="95" customHeight="1" spans="1:2" x14ac:dyDescent="0.25">
      <c r="A6" s="28" t="s">
        <v>83</v>
      </c>
      <c r="B6" s="29" t="s">
        <v>84</v>
      </c>
    </row>
    <row r="7" ht="20" customHeight="1" spans="1:2" x14ac:dyDescent="0.25">
      <c r="A7" s="28" t="s">
        <v>85</v>
      </c>
      <c r="B7" s="29" t="s">
        <v>86</v>
      </c>
    </row>
    <row r="8" ht="20" customHeight="1" spans="1:2" x14ac:dyDescent="0.25">
      <c r="A8" s="28" t="s">
        <v>87</v>
      </c>
      <c r="B8" s="30" t="s">
        <v>88</v>
      </c>
    </row>
    <row r="9" ht="35" customHeight="1" spans="1:2" x14ac:dyDescent="0.25">
      <c r="A9" s="28" t="s">
        <v>89</v>
      </c>
      <c r="B9" s="29" t="s">
        <v>90</v>
      </c>
    </row>
    <row r="10" ht="35" customHeight="1" spans="1:2" x14ac:dyDescent="0.25">
      <c r="A10" s="28" t="s">
        <v>91</v>
      </c>
      <c r="B10" s="29" t="s">
        <v>92</v>
      </c>
    </row>
    <row r="11" ht="20" customHeight="1" spans="1:2" x14ac:dyDescent="0.25">
      <c r="A11" s="28" t="s">
        <v>93</v>
      </c>
      <c r="B11" s="29" t="s">
        <v>94</v>
      </c>
    </row>
    <row r="12" ht="35" customHeight="1" spans="1:2" x14ac:dyDescent="0.25">
      <c r="A12" s="28" t="s">
        <v>95</v>
      </c>
      <c r="B12" s="29" t="s">
        <v>96</v>
      </c>
    </row>
    <row r="13" ht="20" customHeight="1" spans="1:2" x14ac:dyDescent="0.25">
      <c r="A13" s="28" t="s">
        <v>97</v>
      </c>
      <c r="B13" s="29" t="s">
        <v>98</v>
      </c>
    </row>
    <row r="14" ht="20" customHeight="1" spans="1:2" x14ac:dyDescent="0.25">
      <c r="A14" s="28" t="s">
        <v>71</v>
      </c>
      <c r="B14" s="29" t="s">
        <v>99</v>
      </c>
    </row>
    <row r="15" ht="20" customHeight="1" spans="1:2" x14ac:dyDescent="0.25">
      <c r="A15" s="28" t="s">
        <v>64</v>
      </c>
      <c r="B15" s="29" t="s">
        <v>100</v>
      </c>
    </row>
    <row r="17" spans="1:1" x14ac:dyDescent="0.25">
      <c r="A17" s="31" t="s">
        <v>101</v>
      </c>
    </row>
    <row r="18" spans="1:2" x14ac:dyDescent="0.25">
      <c r="A18" s="32" t="s">
        <v>102</v>
      </c>
      <c r="B18" s="33" t="s">
        <v>103</v>
      </c>
    </row>
    <row r="19" spans="1:2" x14ac:dyDescent="0.25">
      <c r="A19" s="32" t="s">
        <v>104</v>
      </c>
      <c r="B19" s="33" t="s">
        <v>105</v>
      </c>
    </row>
    <row r="20" spans="1:2" x14ac:dyDescent="0.25">
      <c r="A20" s="32" t="s">
        <v>106</v>
      </c>
      <c r="B20" s="33" t="s">
        <v>107</v>
      </c>
    </row>
    <row r="21" spans="1:2" x14ac:dyDescent="0.25">
      <c r="A21" s="32" t="s">
        <v>108</v>
      </c>
      <c r="B21" s="33" t="s">
        <v>109</v>
      </c>
    </row>
    <row r="22" spans="1:2" x14ac:dyDescent="0.25">
      <c r="A22" s="32" t="s">
        <v>110</v>
      </c>
      <c r="B22" s="33" t="s">
        <v>111</v>
      </c>
    </row>
    <row r="23" spans="1:2" x14ac:dyDescent="0.25">
      <c r="A23" s="32" t="s">
        <v>112</v>
      </c>
      <c r="B23" s="33" t="s">
        <v>113</v>
      </c>
    </row>
    <row r="24" spans="1:2" x14ac:dyDescent="0.25">
      <c r="A24" s="32" t="s">
        <v>114</v>
      </c>
      <c r="B24" s="33" t="s">
        <v>115</v>
      </c>
    </row>
    <row r="26" ht="24" customHeight="1" spans="1:2" x14ac:dyDescent="0.25">
      <c r="A26" s="34" t="s">
        <v>116</v>
      </c>
      <c r="B26" s="34"/>
    </row>
    <row r="27" ht="52" customHeight="1" spans="1:2" x14ac:dyDescent="0.25">
      <c r="A27" s="35" t="s">
        <v>117</v>
      </c>
      <c r="B27" s="35"/>
    </row>
    <row r="29" spans="1:2" x14ac:dyDescent="0.25">
      <c r="A29" s="36" t="s">
        <v>118</v>
      </c>
      <c r="B29" s="36"/>
    </row>
  </sheetData>
  <mergeCells count="4">
    <mergeCell ref="A1:B1"/>
    <mergeCell ref="A26:B26"/>
    <mergeCell ref="A27:B27"/>
    <mergeCell ref="A29:B29"/>
  </mergeCells>
  <hyperlinks>
    <hyperlink ref="B8" r:id="rId1"/>
  </hyperlinks>
  <pageMargins left="0.7" right="0.7" top="0.75" bottom="0.75" header="0.3" footer="0.3"/>
  <pageSetup paperSize="9" orientation="portrait"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Results</vt:lpstr>
      <vt:lpstr>How to use</vt:lpstr>
    </vt:vector>
  </TitlesOfParts>
  <Company>Ai4Qi</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Ai4Qi</dc:creator>
  <dc:title>What proportion of adults at high risk from sepsis (NEWS2 7 or more with suspected infection) receive IV antibiotics within 1 hour of their first ED NEWS2 score?</dc:title>
  <dc:subject>Clinical audit data collection template (NNA-074)</dc:subject>
  <dc:description/>
  <cp:keywords/>
  <cp:category/>
  <cp:lastModifiedBy>Ai4Qi</cp:lastModifiedBy>
  <dcterms:created xsi:type="dcterms:W3CDTF">2026-09-28T09:56:15Z</dcterms:created>
  <dcterms:modified xsi:type="dcterms:W3CDTF">2026-09-28T09:56:15Z</dcterms:modified>
</cp:coreProperties>
</file>